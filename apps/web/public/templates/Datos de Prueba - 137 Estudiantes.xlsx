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📖 Instrucciones" state="visible" r:id="rId4"/>
    <sheet sheetId="2" name="👥 Estudiantes" state="visible" r:id="rId5"/>
    <sheet sheetId="3" name="🏢 Empresas" state="visible" r:id="rId6"/>
    <sheet sheetId="4" name="👨‍🏫 Tutores Académicos" state="visible" r:id="rId7"/>
    <sheet sheetId="5" name="📋 Prácticas" state="visible" r:id="rId8"/>
  </sheets>
  <calcPr calcId="171027"/>
</workbook>
</file>

<file path=xl/sharedStrings.xml><?xml version="1.0" encoding="utf-8"?>
<sst xmlns="http://schemas.openxmlformats.org/spreadsheetml/2006/main" count="2083" uniqueCount="924">
  <si>
    <t>CÓMO LLENAR ESTA PLANTILLA</t>
  </si>
  <si>
    <t/>
  </si>
  <si>
    <t>Esta plantilla es relacional: toda la información se carga una sola vez en los tres</t>
  </si>
  <si>
    <t>directorios, y la hoja de Prácticas se arma eligiendo de listas desplegables.</t>
  </si>
  <si>
    <t>Paso 1 — Hoja «Estudiantes»</t>
  </si>
  <si>
    <t>Registra a cada estudiante con su cédula, nombre, correo, carrera y celular, y también</t>
  </si>
  <si>
    <t>el tipo de práctica, el nivel académico, las horas y el período que le corresponden.</t>
  </si>
  <si>
    <t>Paso 2 — Hoja «Empresas»</t>
  </si>
  <si>
    <t>Registra cada empresa receptora con su contacto o representante (companyContactName), el cargo</t>
  </si>
  <si>
    <t>de esa persona (companyPosition), su correo y su teléfono. Este contacto y su cargo son los que</t>
  </si>
  <si>
    <t>aparecen como destinatario en los oficios (Solicitud de Prácticas y Designación).</t>
  </si>
  <si>
    <t>Paso 3 — Hoja «Tutores Académicos»</t>
  </si>
  <si>
    <t>Registra a los docentes que harán el seguimiento. La última columna cuenta sola cuántos</t>
  </si>
  <si>
    <t>estudiantes le tocan a cada uno.</t>
  </si>
  <si>
    <t>Paso 4 — Hoja «Prácticas»</t>
  </si>
  <si>
    <t>Aquí solo se eligen TRES cosas por fila, y las tres son listas desplegables:</t>
  </si>
  <si>
    <t xml:space="preserve">   · Apellidos y Nombres del estudiante</t>
  </si>
  <si>
    <t xml:space="preserve">   · Empresa receptora</t>
  </si>
  <si>
    <t xml:space="preserve">   · Tutor académico</t>
  </si>
  <si>
    <t>Las demás columnas se completan solas. Las verás en gris cursiva: no las escribas a mano.</t>
  </si>
  <si>
    <t>Paso 5 — Subir al sistema</t>
  </si>
  <si>
    <t>Guarda el archivo y súbelo en Importaciones. El sistema muestra una vista previa antes</t>
  </si>
  <si>
    <t>de guardar nada.</t>
  </si>
  <si>
    <t>DIRECTORIO DE ESTUDIANTES  ·  aquí va todo lo del estudiante y de su práctica</t>
  </si>
  <si>
    <t>N°</t>
  </si>
  <si>
    <t>Cédula</t>
  </si>
  <si>
    <t>Apellidos y Nombres</t>
  </si>
  <si>
    <t>Correo Institucional</t>
  </si>
  <si>
    <t>Carrera</t>
  </si>
  <si>
    <t>Celular</t>
  </si>
  <si>
    <t>Tipo de Práctica</t>
  </si>
  <si>
    <t>Nivel Académico</t>
  </si>
  <si>
    <t>Horas</t>
  </si>
  <si>
    <t>Periodo</t>
  </si>
  <si>
    <t>1315900520</t>
  </si>
  <si>
    <t>Aguilar Aguilera Isabella Verónica</t>
  </si>
  <si>
    <t>e1315900520@live.uleam.edu.ec</t>
  </si>
  <si>
    <t>Tecnologías de la Información</t>
  </si>
  <si>
    <t>0926492538</t>
  </si>
  <si>
    <t>Prácticas Laborales II</t>
  </si>
  <si>
    <t>Octavo Nivel</t>
  </si>
  <si>
    <t>2024-1</t>
  </si>
  <si>
    <t>1315900538</t>
  </si>
  <si>
    <t>Alava Moreira Luis Alejandro</t>
  </si>
  <si>
    <t>e1315900538@live.uleam.edu.ec</t>
  </si>
  <si>
    <t>0979224043</t>
  </si>
  <si>
    <t>Prácticas Laborales I</t>
  </si>
  <si>
    <t>Séptimo Nivel</t>
  </si>
  <si>
    <t>1315900546</t>
  </si>
  <si>
    <t>Alcivar Franco Nancy Paola</t>
  </si>
  <si>
    <t>e1315900546@live.uleam.edu.ec</t>
  </si>
  <si>
    <t>0961953426</t>
  </si>
  <si>
    <t>1315900553</t>
  </si>
  <si>
    <t>Alcívar Córdova Pedro Luis</t>
  </si>
  <si>
    <t>e1315900553@live.uleam.edu.ec</t>
  </si>
  <si>
    <t>0914781158</t>
  </si>
  <si>
    <t>1315900561</t>
  </si>
  <si>
    <t>Alonzo Pico Devis Yonaikel</t>
  </si>
  <si>
    <t>e1315900561@live.uleam.edu.ec</t>
  </si>
  <si>
    <t>0991742507</t>
  </si>
  <si>
    <t>1315900579</t>
  </si>
  <si>
    <t>Alvarado Chavez Jimmy Santiago</t>
  </si>
  <si>
    <t>e1315900579@live.uleam.edu.ec</t>
  </si>
  <si>
    <t>0981077349</t>
  </si>
  <si>
    <t>1315900587</t>
  </si>
  <si>
    <t>Anchundia Anchundia Liliana Margarita</t>
  </si>
  <si>
    <t>e1315900587@live.uleam.edu.ec</t>
  </si>
  <si>
    <t>0958709236</t>
  </si>
  <si>
    <t>1315900595</t>
  </si>
  <si>
    <t>Anchundia Chavez Belinda Yusmeli</t>
  </si>
  <si>
    <t>e1315900595@live.uleam.edu.ec</t>
  </si>
  <si>
    <t>0918387442</t>
  </si>
  <si>
    <t>1315900603</t>
  </si>
  <si>
    <t>Anchundia Parraga Diego Ariel</t>
  </si>
  <si>
    <t>e1315900603@live.uleam.edu.ec</t>
  </si>
  <si>
    <t>0997713211</t>
  </si>
  <si>
    <t>1315900611</t>
  </si>
  <si>
    <t>Andrade Mera Maholy Abigail</t>
  </si>
  <si>
    <t>e1315900611@live.uleam.edu.ec</t>
  </si>
  <si>
    <t>0928113920</t>
  </si>
  <si>
    <t>1315900629</t>
  </si>
  <si>
    <t>Anzules Reyes Luis Manuel</t>
  </si>
  <si>
    <t>e1315900629@live.uleam.edu.ec</t>
  </si>
  <si>
    <t>0941064188</t>
  </si>
  <si>
    <t>1315900637</t>
  </si>
  <si>
    <t>Arteaga Santana Bryan Steven</t>
  </si>
  <si>
    <t>e1315900637@live.uleam.edu.ec</t>
  </si>
  <si>
    <t>0983439218</t>
  </si>
  <si>
    <t>1315900645</t>
  </si>
  <si>
    <t>Artiles Enriquez Marcos Javier</t>
  </si>
  <si>
    <t>e1315900645@live.uleam.edu.ec</t>
  </si>
  <si>
    <t>0933098303</t>
  </si>
  <si>
    <t>1315900652</t>
  </si>
  <si>
    <t>Ayala Mendoza Jennyffer Carolina</t>
  </si>
  <si>
    <t>e1315900652@live.uleam.edu.ec</t>
  </si>
  <si>
    <t>0958623958</t>
  </si>
  <si>
    <t>1315900660</t>
  </si>
  <si>
    <t>Bailon Anchundia Genesis Aracely</t>
  </si>
  <si>
    <t>e1315900660@live.uleam.edu.ec</t>
  </si>
  <si>
    <t>0900332996</t>
  </si>
  <si>
    <t>1315900678</t>
  </si>
  <si>
    <t>Bailon Quijije Jerick Abraham</t>
  </si>
  <si>
    <t>e1315900678@live.uleam.edu.ec</t>
  </si>
  <si>
    <t>0927944824</t>
  </si>
  <si>
    <t>1315900686</t>
  </si>
  <si>
    <t>Bajaña Loor Hillary Julexy</t>
  </si>
  <si>
    <t>e1315900686@live.uleam.edu.ec</t>
  </si>
  <si>
    <t>0980616981</t>
  </si>
  <si>
    <t>1315900694</t>
  </si>
  <si>
    <t>Baque Barcia Josthin Ariel</t>
  </si>
  <si>
    <t>e1315900694@live.uleam.edu.ec</t>
  </si>
  <si>
    <t>0995370405</t>
  </si>
  <si>
    <t>1315900702</t>
  </si>
  <si>
    <t>Baque Rodríguez Victor Jesús</t>
  </si>
  <si>
    <t>e1315900702@live.uleam.edu.ec</t>
  </si>
  <si>
    <t>0973638004</t>
  </si>
  <si>
    <t>1315900710</t>
  </si>
  <si>
    <t>Barberan Barberan Juan Carlos</t>
  </si>
  <si>
    <t>e1315900710@live.uleam.edu.ec</t>
  </si>
  <si>
    <t>0904347482</t>
  </si>
  <si>
    <t>1315900728</t>
  </si>
  <si>
    <t>Barberan Barberan Leydi Estefania</t>
  </si>
  <si>
    <t>e1315900728@live.uleam.edu.ec</t>
  </si>
  <si>
    <t>0937569163</t>
  </si>
  <si>
    <t>1315900736</t>
  </si>
  <si>
    <t>Barcia Landa Carlos Josue</t>
  </si>
  <si>
    <t>e1315900736@live.uleam.edu.ec</t>
  </si>
  <si>
    <t>0969107185</t>
  </si>
  <si>
    <t>1315900744</t>
  </si>
  <si>
    <t>Barreto Soledispa Darly Jahir</t>
  </si>
  <si>
    <t>e1315900744@live.uleam.edu.ec</t>
  </si>
  <si>
    <t>0920361553</t>
  </si>
  <si>
    <t>1315900751</t>
  </si>
  <si>
    <t>Bautista Quintero Cecia Jemima</t>
  </si>
  <si>
    <t>e1315900751@live.uleam.edu.ec</t>
  </si>
  <si>
    <t>0935393343</t>
  </si>
  <si>
    <t>1315900769</t>
  </si>
  <si>
    <t>Bodero Flores Luis Joel</t>
  </si>
  <si>
    <t>e1315900769@live.uleam.edu.ec</t>
  </si>
  <si>
    <t>0924301198</t>
  </si>
  <si>
    <t>1315900777</t>
  </si>
  <si>
    <t>Bosada Bosada Jesús Andrés</t>
  </si>
  <si>
    <t>e1315900777@live.uleam.edu.ec</t>
  </si>
  <si>
    <t>0976981563</t>
  </si>
  <si>
    <t>1315900785</t>
  </si>
  <si>
    <t>Bravo Zambrano Luis Alexander</t>
  </si>
  <si>
    <t>e1315900785@live.uleam.edu.ec</t>
  </si>
  <si>
    <t>0904151641</t>
  </si>
  <si>
    <t>1315900793</t>
  </si>
  <si>
    <t>Briones Cantos Nayeli Maritza</t>
  </si>
  <si>
    <t>e1315900793@live.uleam.edu.ec</t>
  </si>
  <si>
    <t>0976593292</t>
  </si>
  <si>
    <t>1315900801</t>
  </si>
  <si>
    <t>Briones Santana Ramón Steven</t>
  </si>
  <si>
    <t>e1315900801@live.uleam.edu.ec</t>
  </si>
  <si>
    <t>0990058173</t>
  </si>
  <si>
    <t>1315900819</t>
  </si>
  <si>
    <t>Burbano Loor Anthony Stewart</t>
  </si>
  <si>
    <t>e1315900819@live.uleam.edu.ec</t>
  </si>
  <si>
    <t>0934158330</t>
  </si>
  <si>
    <t>1315900827</t>
  </si>
  <si>
    <t>Burgos Rodríguez Jean Carlos</t>
  </si>
  <si>
    <t>e1315900827@live.uleam.edu.ec</t>
  </si>
  <si>
    <t>0924270517</t>
  </si>
  <si>
    <t>1315900835</t>
  </si>
  <si>
    <t>Castillo Alonso Luis David</t>
  </si>
  <si>
    <t>e1315900835@live.uleam.edu.ec</t>
  </si>
  <si>
    <t>0910754745</t>
  </si>
  <si>
    <t>1315900843</t>
  </si>
  <si>
    <t>Castillo Vera Ariel Alexander</t>
  </si>
  <si>
    <t>e1315900843@live.uleam.edu.ec</t>
  </si>
  <si>
    <t>0938417199</t>
  </si>
  <si>
    <t>1315900850</t>
  </si>
  <si>
    <t>Castro Carranza Andrés David</t>
  </si>
  <si>
    <t>e1315900850@live.uleam.edu.ec</t>
  </si>
  <si>
    <t>0999142676</t>
  </si>
  <si>
    <t>1315900868</t>
  </si>
  <si>
    <t>Cañarte Chancay Diego Valentino</t>
  </si>
  <si>
    <t>e1315900868@live.uleam.edu.ec</t>
  </si>
  <si>
    <t>0955855251</t>
  </si>
  <si>
    <t>1315900876</t>
  </si>
  <si>
    <t>Cedeño Mejía Francisco Rafael</t>
  </si>
  <si>
    <t>e1315900876@live.uleam.edu.ec</t>
  </si>
  <si>
    <t>0902774959</t>
  </si>
  <si>
    <t>1315900884</t>
  </si>
  <si>
    <t>Cedeño Mosquera Jostin Abraham</t>
  </si>
  <si>
    <t>e1315900884@live.uleam.edu.ec</t>
  </si>
  <si>
    <t>0912004442</t>
  </si>
  <si>
    <t>1315900892</t>
  </si>
  <si>
    <t>Cedeño Parrales Ambar Samantha</t>
  </si>
  <si>
    <t>e1315900892@live.uleam.edu.ec</t>
  </si>
  <si>
    <t>0965131661</t>
  </si>
  <si>
    <t>1315900900</t>
  </si>
  <si>
    <t>Cedeño Rivera Joseline Malena</t>
  </si>
  <si>
    <t>e1315900900@live.uleam.edu.ec</t>
  </si>
  <si>
    <t>0959089138</t>
  </si>
  <si>
    <t>1315900918</t>
  </si>
  <si>
    <t>Cedeño Rodríguez Carlos Luis</t>
  </si>
  <si>
    <t>e1315900918@live.uleam.edu.ec</t>
  </si>
  <si>
    <t>0925415163</t>
  </si>
  <si>
    <t>1315900926</t>
  </si>
  <si>
    <t>Cedeño Sornoza Daniel Josué</t>
  </si>
  <si>
    <t>e1315900926@live.uleam.edu.ec</t>
  </si>
  <si>
    <t>0942054936</t>
  </si>
  <si>
    <t>1315900934</t>
  </si>
  <si>
    <t>Cedeño Vera Helion Maximiliano</t>
  </si>
  <si>
    <t>e1315900934@live.uleam.edu.ec</t>
  </si>
  <si>
    <t>0978876172</t>
  </si>
  <si>
    <t>1315900942</t>
  </si>
  <si>
    <t>Cevallos Macias Kelly Juleidy</t>
  </si>
  <si>
    <t>e1315900942@live.uleam.edu.ec</t>
  </si>
  <si>
    <t>0968736994</t>
  </si>
  <si>
    <t>1315900959</t>
  </si>
  <si>
    <t>Cevallos Pihuave Douglas Juliot</t>
  </si>
  <si>
    <t>e1315900959@live.uleam.edu.ec</t>
  </si>
  <si>
    <t>0960203528</t>
  </si>
  <si>
    <t>1315900967</t>
  </si>
  <si>
    <t>Chaluisa Candelejo Lilia Diana</t>
  </si>
  <si>
    <t>e1315900967@live.uleam.edu.ec</t>
  </si>
  <si>
    <t>0942535869</t>
  </si>
  <si>
    <t>1315900975</t>
  </si>
  <si>
    <t>Chancay Moreira Grace Liseth</t>
  </si>
  <si>
    <t>e1315900975@live.uleam.edu.ec</t>
  </si>
  <si>
    <t>0975958457</t>
  </si>
  <si>
    <t>1315900983</t>
  </si>
  <si>
    <t>Chavez Bailon Johan Steven</t>
  </si>
  <si>
    <t>e1315900983@live.uleam.edu.ec</t>
  </si>
  <si>
    <t>0978957264</t>
  </si>
  <si>
    <t>1315900991</t>
  </si>
  <si>
    <t>Chavez Vinces Yimmy Gabriel</t>
  </si>
  <si>
    <t>e1315900991@live.uleam.edu.ec</t>
  </si>
  <si>
    <t>0914599146</t>
  </si>
  <si>
    <t>1315901007</t>
  </si>
  <si>
    <t>Chinga Guerrero Anthony Simon</t>
  </si>
  <si>
    <t>e1315901007@live.uleam.edu.ec</t>
  </si>
  <si>
    <t>0919751332</t>
  </si>
  <si>
    <t>1315901015</t>
  </si>
  <si>
    <t>Choez Rivera David Alejandro</t>
  </si>
  <si>
    <t>e1315901015@live.uleam.edu.ec</t>
  </si>
  <si>
    <t>0976135526</t>
  </si>
  <si>
    <t>1315901023</t>
  </si>
  <si>
    <t>Conforme Yacue Cristhian Javier</t>
  </si>
  <si>
    <t>e1315901023@live.uleam.edu.ec</t>
  </si>
  <si>
    <t>0909608577</t>
  </si>
  <si>
    <t>1315901031</t>
  </si>
  <si>
    <t>Cornejo Macías Luis Fernando</t>
  </si>
  <si>
    <t>e1315901031@live.uleam.edu.ec</t>
  </si>
  <si>
    <t>0982708275</t>
  </si>
  <si>
    <t>1315901049</t>
  </si>
  <si>
    <t>Delgado Anchundia Naomi Carolina</t>
  </si>
  <si>
    <t>e1315901049@live.uleam.edu.ec</t>
  </si>
  <si>
    <t>0943627496</t>
  </si>
  <si>
    <t>1315901056</t>
  </si>
  <si>
    <t>Delgado Carreño Bryan Daniel</t>
  </si>
  <si>
    <t>e1315901056@live.uleam.edu.ec</t>
  </si>
  <si>
    <t>0921935540</t>
  </si>
  <si>
    <t>1315901064</t>
  </si>
  <si>
    <t>Delgado Mendoza Kevin Jossue</t>
  </si>
  <si>
    <t>e1315901064@live.uleam.edu.ec</t>
  </si>
  <si>
    <t>0960075590</t>
  </si>
  <si>
    <t>1315901072</t>
  </si>
  <si>
    <t>Delgado Meza Victor Alexander</t>
  </si>
  <si>
    <t>e1315901072@live.uleam.edu.ec</t>
  </si>
  <si>
    <t>0920932921</t>
  </si>
  <si>
    <t>1315901080</t>
  </si>
  <si>
    <t>España Zambrano Estefani Nicole</t>
  </si>
  <si>
    <t>e1315901080@live.uleam.edu.ec</t>
  </si>
  <si>
    <t>0906376884</t>
  </si>
  <si>
    <t>1315901098</t>
  </si>
  <si>
    <t>Franco Anchundia Carlos Andrés</t>
  </si>
  <si>
    <t>e1315901098@live.uleam.edu.ec</t>
  </si>
  <si>
    <t>0981153797</t>
  </si>
  <si>
    <t>1315901106</t>
  </si>
  <si>
    <t>González Segovia Keyra Yelenny</t>
  </si>
  <si>
    <t>e1315901106@live.uleam.edu.ec</t>
  </si>
  <si>
    <t>0959613576</t>
  </si>
  <si>
    <t>1315901114</t>
  </si>
  <si>
    <t>Gudiño Avila Anthony Raúl</t>
  </si>
  <si>
    <t>e1315901114@live.uleam.edu.ec</t>
  </si>
  <si>
    <t>0967997765</t>
  </si>
  <si>
    <t>1315901122</t>
  </si>
  <si>
    <t>Gómez Palma Dania Vanessa</t>
  </si>
  <si>
    <t>e1315901122@live.uleam.edu.ec</t>
  </si>
  <si>
    <t>0905691185</t>
  </si>
  <si>
    <t>1315901130</t>
  </si>
  <si>
    <t>Herrera Holguín Andrés Wilfrido</t>
  </si>
  <si>
    <t>e1315901130@live.uleam.edu.ec</t>
  </si>
  <si>
    <t>0955490638</t>
  </si>
  <si>
    <t>1315901148</t>
  </si>
  <si>
    <t>Holguin Baque Jonathan Alexander</t>
  </si>
  <si>
    <t>e1315901148@live.uleam.edu.ec</t>
  </si>
  <si>
    <t>0994543915</t>
  </si>
  <si>
    <t>1315901155</t>
  </si>
  <si>
    <t>Holguin Demera Jose Javier</t>
  </si>
  <si>
    <t>e1315901155@live.uleam.edu.ec</t>
  </si>
  <si>
    <t>0959815775</t>
  </si>
  <si>
    <t>1315901163</t>
  </si>
  <si>
    <t>Iñiguez Romero Alisson Oswaldo</t>
  </si>
  <si>
    <t>e1315901163@live.uleam.edu.ec</t>
  </si>
  <si>
    <t>0963629135</t>
  </si>
  <si>
    <t>1315901171</t>
  </si>
  <si>
    <t>Loor Vera Jordy Lenin</t>
  </si>
  <si>
    <t>e1315901171@live.uleam.edu.ec</t>
  </si>
  <si>
    <t>0908069660</t>
  </si>
  <si>
    <t>1315901189</t>
  </si>
  <si>
    <t>Lopez Chilan Angel David</t>
  </si>
  <si>
    <t>e1315901189@live.uleam.edu.ec</t>
  </si>
  <si>
    <t>0960418178</t>
  </si>
  <si>
    <t>1315901197</t>
  </si>
  <si>
    <t>Lorente Tello Ericka Dayana</t>
  </si>
  <si>
    <t>e1315901197@live.uleam.edu.ec</t>
  </si>
  <si>
    <t>0915406282</t>
  </si>
  <si>
    <t>1315901205</t>
  </si>
  <si>
    <t>Lucas Anchundia Luis Diego</t>
  </si>
  <si>
    <t>e1315901205@live.uleam.edu.ec</t>
  </si>
  <si>
    <t>0933832894</t>
  </si>
  <si>
    <t>1315901213</t>
  </si>
  <si>
    <t>Lucas Zambrano Gabriele</t>
  </si>
  <si>
    <t>e1315901213@live.uleam.edu.ec</t>
  </si>
  <si>
    <t>0900625317</t>
  </si>
  <si>
    <t>1315901221</t>
  </si>
  <si>
    <t>Luzardo Alcivar Guillermo Andres</t>
  </si>
  <si>
    <t>e1315901221@live.uleam.edu.ec</t>
  </si>
  <si>
    <t>0916280800</t>
  </si>
  <si>
    <t>1315901239</t>
  </si>
  <si>
    <t>López Lascano Anthony Agustín</t>
  </si>
  <si>
    <t>e1315901239@live.uleam.edu.ec</t>
  </si>
  <si>
    <t>0949013678</t>
  </si>
  <si>
    <t>1315901247</t>
  </si>
  <si>
    <t>Macias Bravo Melina Lissette</t>
  </si>
  <si>
    <t>e1315901247@live.uleam.edu.ec</t>
  </si>
  <si>
    <t>0980272479</t>
  </si>
  <si>
    <t>1315901254</t>
  </si>
  <si>
    <t>Macias Faubla Bryan José</t>
  </si>
  <si>
    <t>e1315901254@live.uleam.edu.ec</t>
  </si>
  <si>
    <t>0946497652</t>
  </si>
  <si>
    <t>1315901262</t>
  </si>
  <si>
    <t>Macias Lugo Jesus Fernando</t>
  </si>
  <si>
    <t>e1315901262@live.uleam.edu.ec</t>
  </si>
  <si>
    <t>0974315309</t>
  </si>
  <si>
    <t>1315901270</t>
  </si>
  <si>
    <t>Macías Sosa Carlos Johan</t>
  </si>
  <si>
    <t>e1315901270@live.uleam.edu.ec</t>
  </si>
  <si>
    <t>0932575113</t>
  </si>
  <si>
    <t>1315901288</t>
  </si>
  <si>
    <t>Mejía Párraga Yender David</t>
  </si>
  <si>
    <t>e1315901288@live.uleam.edu.ec</t>
  </si>
  <si>
    <t>0962008982</t>
  </si>
  <si>
    <t>1315901296</t>
  </si>
  <si>
    <t>Mendoza Bazurto Fabricio Jesús</t>
  </si>
  <si>
    <t>e1315901296@live.uleam.edu.ec</t>
  </si>
  <si>
    <t>0952585474</t>
  </si>
  <si>
    <t>1315901304</t>
  </si>
  <si>
    <t>Mendoza Mendoza Michael Steven</t>
  </si>
  <si>
    <t>e1315901304@live.uleam.edu.ec</t>
  </si>
  <si>
    <t>0999355684</t>
  </si>
  <si>
    <t>1315901312</t>
  </si>
  <si>
    <t>Mera Mendoza Rubén Darío</t>
  </si>
  <si>
    <t>e1315901312@live.uleam.edu.ec</t>
  </si>
  <si>
    <t>0989701695</t>
  </si>
  <si>
    <t>1315901320</t>
  </si>
  <si>
    <t>Mero Figueroa Jeremy Alan</t>
  </si>
  <si>
    <t>e1315901320@live.uleam.edu.ec</t>
  </si>
  <si>
    <t>0946094732</t>
  </si>
  <si>
    <t>1315901338</t>
  </si>
  <si>
    <t>Mero Vélez Jordy Adrian</t>
  </si>
  <si>
    <t>e1315901338@live.uleam.edu.ec</t>
  </si>
  <si>
    <t>0958286917</t>
  </si>
  <si>
    <t>1315901346</t>
  </si>
  <si>
    <t>Meza Bolaños Jordan Isidro</t>
  </si>
  <si>
    <t>e1315901346@live.uleam.edu.ec</t>
  </si>
  <si>
    <t>0901137803</t>
  </si>
  <si>
    <t>1315901353</t>
  </si>
  <si>
    <t>Meza Guerrero Jordan Alexis</t>
  </si>
  <si>
    <t>e1315901353@live.uleam.edu.ec</t>
  </si>
  <si>
    <t>0929619239</t>
  </si>
  <si>
    <t>1315901361</t>
  </si>
  <si>
    <t>Mieles Pita Silvia Marina</t>
  </si>
  <si>
    <t>e1315901361@live.uleam.edu.ec</t>
  </si>
  <si>
    <t>0909086255</t>
  </si>
  <si>
    <t>1315901379</t>
  </si>
  <si>
    <t>Milazzo Cedeño Lizzardi Anthoni</t>
  </si>
  <si>
    <t>e1315901379@live.uleam.edu.ec</t>
  </si>
  <si>
    <t>0940039267</t>
  </si>
  <si>
    <t>1315901387</t>
  </si>
  <si>
    <t>Mina Quijije Jennifer Ana</t>
  </si>
  <si>
    <t>e1315901387@live.uleam.edu.ec</t>
  </si>
  <si>
    <t>0996693927</t>
  </si>
  <si>
    <t>1315901395</t>
  </si>
  <si>
    <t>Morán Mero Juan Carlos</t>
  </si>
  <si>
    <t>e1315901395@live.uleam.edu.ec</t>
  </si>
  <si>
    <t>0909644157</t>
  </si>
  <si>
    <t>1315901403</t>
  </si>
  <si>
    <t>Muentes Roca Jostyn Fabricio</t>
  </si>
  <si>
    <t>e1315901403@live.uleam.edu.ec</t>
  </si>
  <si>
    <t>0915204593</t>
  </si>
  <si>
    <t>1315901411</t>
  </si>
  <si>
    <t>Navarrete Franco Luis Anthony</t>
  </si>
  <si>
    <t>e1315901411@live.uleam.edu.ec</t>
  </si>
  <si>
    <t>0985367594</t>
  </si>
  <si>
    <t>1315901429</t>
  </si>
  <si>
    <t>Ortega Giler Miguel Ángel</t>
  </si>
  <si>
    <t>e1315901429@live.uleam.edu.ec</t>
  </si>
  <si>
    <t>0906235503</t>
  </si>
  <si>
    <t>1315901437</t>
  </si>
  <si>
    <t>Pacheco Bermeo Kevin Jair</t>
  </si>
  <si>
    <t>e1315901437@live.uleam.edu.ec</t>
  </si>
  <si>
    <t>0993339565</t>
  </si>
  <si>
    <t>1315901445</t>
  </si>
  <si>
    <t>Padilla Parrales Marcos Antonio</t>
  </si>
  <si>
    <t>e1315901445@live.uleam.edu.ec</t>
  </si>
  <si>
    <t>0973617999</t>
  </si>
  <si>
    <t>1315901452</t>
  </si>
  <si>
    <t>Palma Palma Johan Xavier</t>
  </si>
  <si>
    <t>e1315901452@live.uleam.edu.ec</t>
  </si>
  <si>
    <t>0959421298</t>
  </si>
  <si>
    <t>1315901460</t>
  </si>
  <si>
    <t>Palma Tejena Michael Javier</t>
  </si>
  <si>
    <t>e1315901460@live.uleam.edu.ec</t>
  </si>
  <si>
    <t>0966623658</t>
  </si>
  <si>
    <t>1315901478</t>
  </si>
  <si>
    <t>Palma Zamora Jordi José</t>
  </si>
  <si>
    <t>e1315901478@live.uleam.edu.ec</t>
  </si>
  <si>
    <t>0920580315</t>
  </si>
  <si>
    <t>1315901486</t>
  </si>
  <si>
    <t>Panta Franco Julissa Stephanía</t>
  </si>
  <si>
    <t>e1315901486@live.uleam.edu.ec</t>
  </si>
  <si>
    <t>0970256843</t>
  </si>
  <si>
    <t>1315901494</t>
  </si>
  <si>
    <t>Parrales Pico Douglas Andres</t>
  </si>
  <si>
    <t>e1315901494@live.uleam.edu.ec</t>
  </si>
  <si>
    <t>0994140666</t>
  </si>
  <si>
    <t>1315901502</t>
  </si>
  <si>
    <t>Patiño Angulo Alex Agustin</t>
  </si>
  <si>
    <t>e1315901502@live.uleam.edu.ec</t>
  </si>
  <si>
    <t>0970242177</t>
  </si>
  <si>
    <t>1315901510</t>
  </si>
  <si>
    <t>Pazmiño García Bryan Josué</t>
  </si>
  <si>
    <t>e1315901510@live.uleam.edu.ec</t>
  </si>
  <si>
    <t>0919130986</t>
  </si>
  <si>
    <t>1315901528</t>
  </si>
  <si>
    <t>Perez Castro Cristopher David</t>
  </si>
  <si>
    <t>e1315901528@live.uleam.edu.ec</t>
  </si>
  <si>
    <t>0972040918</t>
  </si>
  <si>
    <t>1315901536</t>
  </si>
  <si>
    <t>Perez Villarroel Ricardo Joshu</t>
  </si>
  <si>
    <t>e1315901536@live.uleam.edu.ec</t>
  </si>
  <si>
    <t>0985478059</t>
  </si>
  <si>
    <t>1315901544</t>
  </si>
  <si>
    <t>Pico Reyes Kevin David</t>
  </si>
  <si>
    <t>e1315901544@live.uleam.edu.ec</t>
  </si>
  <si>
    <t>0997192878</t>
  </si>
  <si>
    <t>1315901551</t>
  </si>
  <si>
    <t>Pinto Rivero Jandry Alejandro</t>
  </si>
  <si>
    <t>e1315901551@live.uleam.edu.ec</t>
  </si>
  <si>
    <t>0980714880</t>
  </si>
  <si>
    <t>1315901569</t>
  </si>
  <si>
    <t>Plaza Chiquito Kevin David</t>
  </si>
  <si>
    <t>e1315901569@live.uleam.edu.ec</t>
  </si>
  <si>
    <t>0919545388</t>
  </si>
  <si>
    <t>1315901577</t>
  </si>
  <si>
    <t>Ponce Urdanigo Manuel Alexander</t>
  </si>
  <si>
    <t>e1315901577@live.uleam.edu.ec</t>
  </si>
  <si>
    <t>0908351265</t>
  </si>
  <si>
    <t>1315901585</t>
  </si>
  <si>
    <t>Prado Góngora Luis Manuel</t>
  </si>
  <si>
    <t>e1315901585@live.uleam.edu.ec</t>
  </si>
  <si>
    <t>0983723222</t>
  </si>
  <si>
    <t>1315901593</t>
  </si>
  <si>
    <t>Pérez Castro Jeremy Gabriel</t>
  </si>
  <si>
    <t>e1315901593@live.uleam.edu.ec</t>
  </si>
  <si>
    <t>0968054824</t>
  </si>
  <si>
    <t>1315901601</t>
  </si>
  <si>
    <t>Pérez Molina Cristhian Fabian</t>
  </si>
  <si>
    <t>e1315901601@live.uleam.edu.ec</t>
  </si>
  <si>
    <t>0970395419</t>
  </si>
  <si>
    <t>1315901619</t>
  </si>
  <si>
    <t>Quiroz Bailon Verónica Susana</t>
  </si>
  <si>
    <t>e1315901619@live.uleam.edu.ec</t>
  </si>
  <si>
    <t>0973580916</t>
  </si>
  <si>
    <t>1315901627</t>
  </si>
  <si>
    <t>Ramirez Bravo Angie Nicole</t>
  </si>
  <si>
    <t>e1315901627@live.uleam.edu.ec</t>
  </si>
  <si>
    <t>0967602487</t>
  </si>
  <si>
    <t>1315901635</t>
  </si>
  <si>
    <t>Rendón Calderón María Fernanda</t>
  </si>
  <si>
    <t>e1315901635@live.uleam.edu.ec</t>
  </si>
  <si>
    <t>0994668267</t>
  </si>
  <si>
    <t>1315901643</t>
  </si>
  <si>
    <t>Rezavala Bailon Bryan David</t>
  </si>
  <si>
    <t>e1315901643@live.uleam.edu.ec</t>
  </si>
  <si>
    <t>0939692285</t>
  </si>
  <si>
    <t>1315901650</t>
  </si>
  <si>
    <t>Rodriguez Bravo Erick Rodrigo</t>
  </si>
  <si>
    <t>e1315901650@live.uleam.edu.ec</t>
  </si>
  <si>
    <t>0942844581</t>
  </si>
  <si>
    <t>1315901668</t>
  </si>
  <si>
    <t>Rodriguez Salvatierra Enis Anderi</t>
  </si>
  <si>
    <t>e1315901668@live.uleam.edu.ec</t>
  </si>
  <si>
    <t>0922096397</t>
  </si>
  <si>
    <t>1315901676</t>
  </si>
  <si>
    <t>Saltos Garcia Anthony Josue</t>
  </si>
  <si>
    <t>e1315901676@live.uleam.edu.ec</t>
  </si>
  <si>
    <t>0994552345</t>
  </si>
  <si>
    <t>1315901684</t>
  </si>
  <si>
    <t>Salvatierra Vasquez Amelia Beatriz</t>
  </si>
  <si>
    <t>e1315901684@live.uleam.edu.ec</t>
  </si>
  <si>
    <t>0972813432</t>
  </si>
  <si>
    <t>1315901692</t>
  </si>
  <si>
    <t>Sanchez Mero Johan Francisco</t>
  </si>
  <si>
    <t>e1315901692@live.uleam.edu.ec</t>
  </si>
  <si>
    <t>0928652060</t>
  </si>
  <si>
    <t>1315901700</t>
  </si>
  <si>
    <t>Santana Zambrano Jose Luis</t>
  </si>
  <si>
    <t>e1315901700@live.uleam.edu.ec</t>
  </si>
  <si>
    <t>0972127274</t>
  </si>
  <si>
    <t>1315901718</t>
  </si>
  <si>
    <t>Santos Toala Jose Sebastian</t>
  </si>
  <si>
    <t>e1315901718@live.uleam.edu.ec</t>
  </si>
  <si>
    <t>0906852072</t>
  </si>
  <si>
    <t>1315901726</t>
  </si>
  <si>
    <t>Solorzano Macias Nayely Andreina</t>
  </si>
  <si>
    <t>e1315901726@live.uleam.edu.ec</t>
  </si>
  <si>
    <t>0926402113</t>
  </si>
  <si>
    <t>1315901734</t>
  </si>
  <si>
    <t>Tomala Fernandez Narcisa Esperanza</t>
  </si>
  <si>
    <t>e1315901734@live.uleam.edu.ec</t>
  </si>
  <si>
    <t>0952311537</t>
  </si>
  <si>
    <t>1315901742</t>
  </si>
  <si>
    <t>Tumbaco Arana Diego Armando</t>
  </si>
  <si>
    <t>e1315901742@live.uleam.edu.ec</t>
  </si>
  <si>
    <t>0920603405</t>
  </si>
  <si>
    <t>1315901759</t>
  </si>
  <si>
    <t>Valencia Diaz Ramon Jonaiker</t>
  </si>
  <si>
    <t>e1315901759@live.uleam.edu.ec</t>
  </si>
  <si>
    <t>0925041281</t>
  </si>
  <si>
    <t>1315901767</t>
  </si>
  <si>
    <t>Valencia Ramírez John Robert</t>
  </si>
  <si>
    <t>e1315901767@live.uleam.edu.ec</t>
  </si>
  <si>
    <t>0983545251</t>
  </si>
  <si>
    <t>1315901775</t>
  </si>
  <si>
    <t>Valeriano Delgado Carmen Annabel</t>
  </si>
  <si>
    <t>e1315901775@live.uleam.edu.ec</t>
  </si>
  <si>
    <t>0979430167</t>
  </si>
  <si>
    <t>1315901783</t>
  </si>
  <si>
    <t>Villigua Soledispa Cristhian Alexander</t>
  </si>
  <si>
    <t>e1315901783@live.uleam.edu.ec</t>
  </si>
  <si>
    <t>0975635360</t>
  </si>
  <si>
    <t>1315901791</t>
  </si>
  <si>
    <t>Vinces Cevallos John Cristhian</t>
  </si>
  <si>
    <t>e1315901791@live.uleam.edu.ec</t>
  </si>
  <si>
    <t>0998368512</t>
  </si>
  <si>
    <t>1315901809</t>
  </si>
  <si>
    <t>Vásquez Tomalá Francisco Guillermo</t>
  </si>
  <si>
    <t>e1315901809@live.uleam.edu.ec</t>
  </si>
  <si>
    <t>0919440532</t>
  </si>
  <si>
    <t>1315901817</t>
  </si>
  <si>
    <t>Vázquez Espinosa Jennifer</t>
  </si>
  <si>
    <t>e1315901817@live.uleam.edu.ec</t>
  </si>
  <si>
    <t>0928780764</t>
  </si>
  <si>
    <t>1315901825</t>
  </si>
  <si>
    <t>Vélez Núñez Gabriel Alexander</t>
  </si>
  <si>
    <t>e1315901825@live.uleam.edu.ec</t>
  </si>
  <si>
    <t>0933828916</t>
  </si>
  <si>
    <t>1315901833</t>
  </si>
  <si>
    <t>Véliz Vergara Génesis Gabriela</t>
  </si>
  <si>
    <t>e1315901833@live.uleam.edu.ec</t>
  </si>
  <si>
    <t>0926696268</t>
  </si>
  <si>
    <t>1315901841</t>
  </si>
  <si>
    <t>Zambrano Menéndez Jeremi Paul</t>
  </si>
  <si>
    <t>e1315901841@live.uleam.edu.ec</t>
  </si>
  <si>
    <t>0943332260</t>
  </si>
  <si>
    <t>1315901858</t>
  </si>
  <si>
    <t>Zambrano Mero Jonathan Leonardo</t>
  </si>
  <si>
    <t>e1315901858@live.uleam.edu.ec</t>
  </si>
  <si>
    <t>0973935313</t>
  </si>
  <si>
    <t>1315901866</t>
  </si>
  <si>
    <t>Zambrano Salazar Janina Aracely</t>
  </si>
  <si>
    <t>e1315901866@live.uleam.edu.ec</t>
  </si>
  <si>
    <t>0905300699</t>
  </si>
  <si>
    <t>1315901874</t>
  </si>
  <si>
    <t>Zambrano Vergara Irving Ariel</t>
  </si>
  <si>
    <t>e1315901874@live.uleam.edu.ec</t>
  </si>
  <si>
    <t>0966990972</t>
  </si>
  <si>
    <t>1315901882</t>
  </si>
  <si>
    <t>Zamora Piguave Miguel Ignacio</t>
  </si>
  <si>
    <t>e1315901882@live.uleam.edu.ec</t>
  </si>
  <si>
    <t>0995588056</t>
  </si>
  <si>
    <t>DIRECTORIO DE EMPRESAS RECEPTORAS</t>
  </si>
  <si>
    <t>Nombre Empresa</t>
  </si>
  <si>
    <t>Contacto / Destinatario de la Empresa</t>
  </si>
  <si>
    <t>Cargo del Contacto / Destinatario</t>
  </si>
  <si>
    <t>Email</t>
  </si>
  <si>
    <t>Teléfono</t>
  </si>
  <si>
    <t>ADMINISTRADOR DE FCVT</t>
  </si>
  <si>
    <t>Ing. Mike Machuca</t>
  </si>
  <si>
    <t>Administrador de la Facultad de Ciencias de la Vida y Tecnología</t>
  </si>
  <si>
    <t>mike.machuca@uleam.edu.ec</t>
  </si>
  <si>
    <t>993419854</t>
  </si>
  <si>
    <t>ALTURA S.A.</t>
  </si>
  <si>
    <t>Ing. Byron Macías Alcívar</t>
  </si>
  <si>
    <t>Gerente General</t>
  </si>
  <si>
    <t>gerencia@altura.com.ec</t>
  </si>
  <si>
    <t>0960048753</t>
  </si>
  <si>
    <t>ANDICOM</t>
  </si>
  <si>
    <t>Sra. Jessica Anchundia</t>
  </si>
  <si>
    <t>Gerente Andicom</t>
  </si>
  <si>
    <t>jessica.anchundiaa@gmail.com</t>
  </si>
  <si>
    <t>982485536</t>
  </si>
  <si>
    <t>ASETECSA S.A.</t>
  </si>
  <si>
    <t>Ing. Martha Villamil</t>
  </si>
  <si>
    <t>nino1511@hotmail.com</t>
  </si>
  <si>
    <t>997480006</t>
  </si>
  <si>
    <t>ATUKHOSTING</t>
  </si>
  <si>
    <t>Ing. Fabián Zambrano Loor</t>
  </si>
  <si>
    <t>Jefe de Tecnologías de la Información</t>
  </si>
  <si>
    <t>soporte@atukhosting.com</t>
  </si>
  <si>
    <t>0960124591</t>
  </si>
  <si>
    <t>AUTORIDAD PORTUARIA DE MANTA</t>
  </si>
  <si>
    <t>Lcda. Elena Bailón Santana</t>
  </si>
  <si>
    <t>Jefe de Sistemas</t>
  </si>
  <si>
    <t>sistemas@autoridadportuaria.gob.ec</t>
  </si>
  <si>
    <t>052610867</t>
  </si>
  <si>
    <t>AYUDANTIA DE CATEDRA (ALGEBRA LINEAL)</t>
  </si>
  <si>
    <t>Ing. Mero Henry</t>
  </si>
  <si>
    <t>Docente ULEAM</t>
  </si>
  <si>
    <t>henry.mero@uleam.edu.ec</t>
  </si>
  <si>
    <t>989170708</t>
  </si>
  <si>
    <t>AYUDANTIA DE CATEDRA (FUNDAMENTOS DE PROGRAMACIÓN)</t>
  </si>
  <si>
    <t>Ing. Armando Franco Pico</t>
  </si>
  <si>
    <t>armando.franco@uleam.edu.ec</t>
  </si>
  <si>
    <t>984579272</t>
  </si>
  <si>
    <t>AYUDANTIA DE CATEDRA (ING. SOFTWARE I)</t>
  </si>
  <si>
    <t>Ing. William Delgado</t>
  </si>
  <si>
    <t>william.delgado@uleam.edu.ec</t>
  </si>
  <si>
    <t>980778865</t>
  </si>
  <si>
    <t>AYUDANTIA DE CATEDRA (ING. WILLIAM ZAMORA)</t>
  </si>
  <si>
    <t>Sr. Pico Santana Milton Ramiro</t>
  </si>
  <si>
    <t>miltonsantana78@hotmail.com</t>
  </si>
  <si>
    <t>984142004</t>
  </si>
  <si>
    <t>BENEMÉRITO CUERPO DE BOMBEROS DE MANTA</t>
  </si>
  <si>
    <t>Lcda. Mariana Vélez Cedeño</t>
  </si>
  <si>
    <t>sistemas@benemeritocuerpo.gob.ec</t>
  </si>
  <si>
    <t>052674219</t>
  </si>
  <si>
    <t>BIENESTAR UNIVERSITARIO</t>
  </si>
  <si>
    <t>Ing. Harol Ormaza</t>
  </si>
  <si>
    <t>Director Bienestar Universitario</t>
  </si>
  <si>
    <t>douglas.anzules@uleam.edu.ec</t>
  </si>
  <si>
    <t>985149072</t>
  </si>
  <si>
    <t>CELEC - Unidad de Negocio Termomanabí</t>
  </si>
  <si>
    <t>Abg. Julio Cesar Chica Santana</t>
  </si>
  <si>
    <t>Gerente CELEC EP-Termomanabí (encargado)</t>
  </si>
  <si>
    <t>julio.chica@celec.gob.com</t>
  </si>
  <si>
    <t>984799986</t>
  </si>
  <si>
    <t>CLIC HERE PC</t>
  </si>
  <si>
    <t>Ing. Gabriela Mendoza Pico</t>
  </si>
  <si>
    <t>soporte@clichere.com</t>
  </si>
  <si>
    <t>0960130008</t>
  </si>
  <si>
    <t>CNEL</t>
  </si>
  <si>
    <t>Ing. Hugo Palacios Zambrano</t>
  </si>
  <si>
    <t>Analista de Sistemas</t>
  </si>
  <si>
    <t>sistemas@cnel.gob.ec</t>
  </si>
  <si>
    <t>052661329</t>
  </si>
  <si>
    <t>COFARVE</t>
  </si>
  <si>
    <t>Lcda. Victoria Bravo Espinales</t>
  </si>
  <si>
    <t>Coordinadora de Talento Humano</t>
  </si>
  <si>
    <t>victoria.bravo@cofarve.com.ec</t>
  </si>
  <si>
    <t>996671785</t>
  </si>
  <si>
    <t>COLEGIO DE BIOLOGOS</t>
  </si>
  <si>
    <t>Ing. Patricia Solórzano Cedeño</t>
  </si>
  <si>
    <t>Rector</t>
  </si>
  <si>
    <t>rectorado@colegiobiologos.edu.ec</t>
  </si>
  <si>
    <t>052600000</t>
  </si>
  <si>
    <t>COMISION ACADEMICA ING. EDGARDO</t>
  </si>
  <si>
    <t>Ing. Edgardo Panchana</t>
  </si>
  <si>
    <t>Miembro de Comisión Académica</t>
  </si>
  <si>
    <t>edgardo.panchana@uleam.edu.ec</t>
  </si>
  <si>
    <t>994617762</t>
  </si>
  <si>
    <t>COMISION DE PRACTICAS PREPROFESIONALES</t>
  </si>
  <si>
    <t>Ing. Viviana García Macías</t>
  </si>
  <si>
    <t>Coordinadora de Prácticas</t>
  </si>
  <si>
    <t>viviana.garcia@uleam.edu.ec</t>
  </si>
  <si>
    <t>995621767</t>
  </si>
  <si>
    <t>COMISION DE SEGUIMIENTO A GRADUADOS</t>
  </si>
  <si>
    <t>Miembro de la Comisión de Seguimiento a Graduados</t>
  </si>
  <si>
    <t>COMISIÓN DE TITULACIÓN Y SEGUIMIENTO A GRADUADOS</t>
  </si>
  <si>
    <t>Ing. Johnny Larrea Pula, PhD</t>
  </si>
  <si>
    <t>Coordinador de Titulación</t>
  </si>
  <si>
    <t>johnny.larrea@uleam.edu.ec</t>
  </si>
  <si>
    <t>984496002</t>
  </si>
  <si>
    <t>COMPUSTOCK</t>
  </si>
  <si>
    <t>CONSERVAS ISABEL S.A</t>
  </si>
  <si>
    <t>Lcda. Verónica Loor Anchundia</t>
  </si>
  <si>
    <t>Jefe de Recursos Humanos</t>
  </si>
  <si>
    <t>talentohumano@conservasisabel.com.ec</t>
  </si>
  <si>
    <t>0960043336</t>
  </si>
  <si>
    <t>COOPERATIVA CALCETA LTDA</t>
  </si>
  <si>
    <t>Jefe de Tecnología</t>
  </si>
  <si>
    <t>tecnologia@cooperativacalceta.fin.ec</t>
  </si>
  <si>
    <t>052629653</t>
  </si>
  <si>
    <t>CORPORACION MARZAM</t>
  </si>
  <si>
    <t>talentohumano@corporacionmarzam.com.ec</t>
  </si>
  <si>
    <t>0960151676</t>
  </si>
  <si>
    <t>DIIT ULEAM</t>
  </si>
  <si>
    <t>Ing. César Cedeño Cedeño</t>
  </si>
  <si>
    <t>Director de Informática e Innovación Tecnológica</t>
  </si>
  <si>
    <t>cesar.cedeno@uleam.edu.ec</t>
  </si>
  <si>
    <t>995976115</t>
  </si>
  <si>
    <t>DISTRITO DE EDUCACION 13D02</t>
  </si>
  <si>
    <t>Econ. Edgar Vinicio Rivadeneira Gonzáles</t>
  </si>
  <si>
    <t>Director Distrital de Educación 13D02 Jaramijó-Manta-Montecristi</t>
  </si>
  <si>
    <t>ingrid.alava@educacion.gob.ec</t>
  </si>
  <si>
    <t>984887304</t>
  </si>
  <si>
    <t>DISTRITO DE SALUD D1302</t>
  </si>
  <si>
    <t>Ing. Silvia Ponce Rodríguez</t>
  </si>
  <si>
    <t>Coordinador de Informática</t>
  </si>
  <si>
    <t>informatica@distritosalud.gob.ec</t>
  </si>
  <si>
    <t>052695028</t>
  </si>
  <si>
    <t>EMPRESA PUBLICA ULEAM (EPULEAM)</t>
  </si>
  <si>
    <t>Sr. Armando Anchundia</t>
  </si>
  <si>
    <t>Gerente Empresa Pública ULEAM</t>
  </si>
  <si>
    <t>gerente@ep-uleam.gob.ec</t>
  </si>
  <si>
    <t>958852859</t>
  </si>
  <si>
    <t>EPAM</t>
  </si>
  <si>
    <t>Ing. Ricardo Andrade Moreira</t>
  </si>
  <si>
    <t>sistemas@epam.gob.ec</t>
  </si>
  <si>
    <t>052607919</t>
  </si>
  <si>
    <t>EPAM Aguas de Manta</t>
  </si>
  <si>
    <t>Ing. Miguel Cevallos</t>
  </si>
  <si>
    <t>Gerente General de Aguas de Manta</t>
  </si>
  <si>
    <t>miguelcevallos@epam.gob.ec</t>
  </si>
  <si>
    <t>997067998</t>
  </si>
  <si>
    <t>EPESPO</t>
  </si>
  <si>
    <t>sistemas@epespo.gob.ec</t>
  </si>
  <si>
    <t>052631676</t>
  </si>
  <si>
    <t>EPULEAM</t>
  </si>
  <si>
    <t>Responsable de la Unidad</t>
  </si>
  <si>
    <t>coordinacion@epuleam.uleam.edu.ec</t>
  </si>
  <si>
    <t>052666300</t>
  </si>
  <si>
    <t>ESCUELA DE PESCA DEL PACÍFICO ORIENTAL</t>
  </si>
  <si>
    <t>Ing. Marjorie Ortega</t>
  </si>
  <si>
    <t>Directora Académica</t>
  </si>
  <si>
    <t>marjorieom@hotmail.com</t>
  </si>
  <si>
    <t>994563393</t>
  </si>
  <si>
    <t>FACULTAD DE CIENCIAS DE LA EDUCACIÓN - PROYECTO DIAC</t>
  </si>
  <si>
    <t>Dra. Beatriz Moreira Macías, Ph.D</t>
  </si>
  <si>
    <t>Decana Facultad de Ciencias de la Educación</t>
  </si>
  <si>
    <t>arturo.rodriguez@uleam.edu.ec</t>
  </si>
  <si>
    <t>988500314</t>
  </si>
  <si>
    <t>FIBRAPOINT</t>
  </si>
  <si>
    <t>Sr. Carlos Julio Aguilar</t>
  </si>
  <si>
    <t>info@fibrapoint.net</t>
  </si>
  <si>
    <t>939819093</t>
  </si>
  <si>
    <t>FISHCORP</t>
  </si>
  <si>
    <t>Lcdo. Jorge Intriago Bravo</t>
  </si>
  <si>
    <t>talentohumano@fishcorp.com.ec</t>
  </si>
  <si>
    <t>0960027085</t>
  </si>
  <si>
    <t>GAD MANTA</t>
  </si>
  <si>
    <t>Ing. Guillermo Calvache Erazo</t>
  </si>
  <si>
    <t>Dirección de Educación Complementaria GAD MANTA</t>
  </si>
  <si>
    <t>guillermo_calvache@manta.gob.ec</t>
  </si>
  <si>
    <t>996375187</t>
  </si>
  <si>
    <t>GAD MONTECRISTI</t>
  </si>
  <si>
    <t>Ing. Rubén Giler Menéndez</t>
  </si>
  <si>
    <t>sistemas@gadmontecristi.gob.ec</t>
  </si>
  <si>
    <t>052650462</t>
  </si>
  <si>
    <t>GALDECUN S.A.</t>
  </si>
  <si>
    <t>gerencia@galdecun.com.ec</t>
  </si>
  <si>
    <t>0960173344</t>
  </si>
  <si>
    <t>HOSPITAL IESS MANTA</t>
  </si>
  <si>
    <t>Ing. Nathaly Pico Cedeño</t>
  </si>
  <si>
    <t>informatica@hospitaliess.gob.ec</t>
  </si>
  <si>
    <t>052642543</t>
  </si>
  <si>
    <t>HOSPITAL RODRIGUEZ ZAMBRANO</t>
  </si>
  <si>
    <t>Ing. Andrea Cañarte Delgado</t>
  </si>
  <si>
    <t>informatica@hospitalrodriguez.gob.ec</t>
  </si>
  <si>
    <t>052647514</t>
  </si>
  <si>
    <t>HOTEL POSEIDÓN</t>
  </si>
  <si>
    <t>Ing. Marcelo Chávez Pinargote</t>
  </si>
  <si>
    <t>Administrador</t>
  </si>
  <si>
    <t>administracion@hotelposeidon.com</t>
  </si>
  <si>
    <t>0960146259</t>
  </si>
  <si>
    <t>INSTITUTO DE NEUROCIENCIAS</t>
  </si>
  <si>
    <t>informatica@institutoneurociencias.gob.ec</t>
  </si>
  <si>
    <t>052623757</t>
  </si>
  <si>
    <t>KAIROSIG</t>
  </si>
  <si>
    <t>Ing. Jacqueline Palma Ramos</t>
  </si>
  <si>
    <t>gerente@kairosig.com</t>
  </si>
  <si>
    <t>996434136</t>
  </si>
  <si>
    <t>KONTIKI EXPEDITIONS</t>
  </si>
  <si>
    <t>Abg. Daniel Cevallos Vera</t>
  </si>
  <si>
    <t>administracion@kontikiexpeditions.com</t>
  </si>
  <si>
    <t>0960167927</t>
  </si>
  <si>
    <t>LABORATORIO DE MEDICINA ULEAM</t>
  </si>
  <si>
    <t>Dra. Jacqueline Mera Chica</t>
  </si>
  <si>
    <t>Coordinadora de Laboratorio - Medicina</t>
  </si>
  <si>
    <t>jacqueline.mera@uleam.edu.ec</t>
  </si>
  <si>
    <t>997564528</t>
  </si>
  <si>
    <t>MANABI PRODUCE</t>
  </si>
  <si>
    <t>talentohumano@manabiproduce.com.ec</t>
  </si>
  <si>
    <t>0960135425</t>
  </si>
  <si>
    <t>MANACLOUDS</t>
  </si>
  <si>
    <t>Ing. Óscar Quiroz Delgado</t>
  </si>
  <si>
    <t>soporte@manaclouds.com</t>
  </si>
  <si>
    <t>0960081255</t>
  </si>
  <si>
    <t>MINISTERIO DE PRODUCCIÓN COMERCIO EXTERIOR INVERSIONES Y PESCA</t>
  </si>
  <si>
    <t>Director Distrital de Tecnologías</t>
  </si>
  <si>
    <t>tics@ministerioproduccion.gob.ec</t>
  </si>
  <si>
    <t>052687109</t>
  </si>
  <si>
    <t>MINISTERIO DEL INTERIOR</t>
  </si>
  <si>
    <t>Ing. Tatiana Farías Moreira</t>
  </si>
  <si>
    <t>tics@ministeriointerior.gob.ec</t>
  </si>
  <si>
    <t>052626705</t>
  </si>
  <si>
    <t>MOVILIDAD DE MANTA-EP</t>
  </si>
  <si>
    <t>sistemas@movilidadmantaep.gob.ec</t>
  </si>
  <si>
    <t>052658381</t>
  </si>
  <si>
    <t>OBSERVATORIO TERRITORIAL MULTIDISCIPLINARIO ULEAM</t>
  </si>
  <si>
    <t>Soc. Wilmer Ivan Suárez V., MSc</t>
  </si>
  <si>
    <t>Director Observatorio Territorial Multidisciplinario</t>
  </si>
  <si>
    <t>observatorio@uleam.edu.ec</t>
  </si>
  <si>
    <t>998472531</t>
  </si>
  <si>
    <t>PICKING S.A.</t>
  </si>
  <si>
    <t>Ing. Gilberth Choez Mendoza</t>
  </si>
  <si>
    <t>Representante Legal</t>
  </si>
  <si>
    <t>info@picking.com.ec</t>
  </si>
  <si>
    <t>985872769</t>
  </si>
  <si>
    <t>PROMOPESCA</t>
  </si>
  <si>
    <t>Ing. Fabricio Reyes Flores</t>
  </si>
  <si>
    <t>freyes@promopesca.com.ec</t>
  </si>
  <si>
    <t>959730549</t>
  </si>
  <si>
    <t>PROYECTO DE INVESTIGACIÓN EL ROL DE LAS TECNOLOGÍAS EN LA EDUCACIÓN SUPERIOR</t>
  </si>
  <si>
    <t>coordinacion@proyectoinvestigacion.uleam.edu.ec</t>
  </si>
  <si>
    <t>052669248</t>
  </si>
  <si>
    <t>PROYECTO IOT</t>
  </si>
  <si>
    <t>coordinacion@proyectoiot.uleam.edu.ec</t>
  </si>
  <si>
    <t>052605896</t>
  </si>
  <si>
    <t>QUOTECH</t>
  </si>
  <si>
    <t>Ing. José Stalin Proaño Molina</t>
  </si>
  <si>
    <t>Presidente</t>
  </si>
  <si>
    <t>info@quotech.ec</t>
  </si>
  <si>
    <t>979925170</t>
  </si>
  <si>
    <t>RUNACHAY</t>
  </si>
  <si>
    <t>Ing. Pablo Saltos</t>
  </si>
  <si>
    <t>Coordinador de Soporte Operativo</t>
  </si>
  <si>
    <t>—</t>
  </si>
  <si>
    <t>960839348</t>
  </si>
  <si>
    <t>SEAFMAN</t>
  </si>
  <si>
    <t>Lcda. Martha Alvarado</t>
  </si>
  <si>
    <t>Gerente de RRHH</t>
  </si>
  <si>
    <t>kvalderrama@seafman.com</t>
  </si>
  <si>
    <t>985768206</t>
  </si>
  <si>
    <t>SEGUIMIENTO A GRADUADOS FCVT</t>
  </si>
  <si>
    <t>Ing. Karina Briones Mera</t>
  </si>
  <si>
    <t>coordinacion@seguimientograduados.uleam.edu.ec</t>
  </si>
  <si>
    <t>052679190</t>
  </si>
  <si>
    <t>SHELLCATCH</t>
  </si>
  <si>
    <t>Ing. Stahl Suárez Castellanos</t>
  </si>
  <si>
    <t>Gerente &amp; Representante para Ecuador</t>
  </si>
  <si>
    <t>stahl.suarez@shellcatch.com</t>
  </si>
  <si>
    <t>992928775</t>
  </si>
  <si>
    <t>SUBDECANATO FCVT</t>
  </si>
  <si>
    <t>coordinacion@subdecanatofcvt.uleam.edu.ec</t>
  </si>
  <si>
    <t>052637572</t>
  </si>
  <si>
    <t>TELANDWEB</t>
  </si>
  <si>
    <t>Ing. Dario Cedeño Viteri</t>
  </si>
  <si>
    <t>gerencia@tawsa.com</t>
  </si>
  <si>
    <t>999178014</t>
  </si>
  <si>
    <t>TERMINAL PORTUARIA DE MANTA</t>
  </si>
  <si>
    <t>sistemas@terminalportuaria.gob.ec</t>
  </si>
  <si>
    <t>052602948</t>
  </si>
  <si>
    <t>TERMINAL PORTUARIO DE MANTA TMP S.A.</t>
  </si>
  <si>
    <t>S/N</t>
  </si>
  <si>
    <t>Palmeida@tpm.ec</t>
  </si>
  <si>
    <t>ULEAM-EP</t>
  </si>
  <si>
    <t>coordinacion@uleamep.uleam.edu.ec</t>
  </si>
  <si>
    <t>052655433</t>
  </si>
  <si>
    <t>UNIDAD EDUCATIVA ISRAEL</t>
  </si>
  <si>
    <t>rectorado@unidadeducativa.edu.ec</t>
  </si>
  <si>
    <t>052615838</t>
  </si>
  <si>
    <t>UNIDAD EDUCATIVA JUAN MONTALVO</t>
  </si>
  <si>
    <t>Lcda. Martha Cedeño Alcivar</t>
  </si>
  <si>
    <t>Rectora</t>
  </si>
  <si>
    <t>982737396</t>
  </si>
  <si>
    <t>UNIDAD EDUCATIVA TALENTOS</t>
  </si>
  <si>
    <t>Dr. Julio Mero Villavicencio</t>
  </si>
  <si>
    <t>052634624</t>
  </si>
  <si>
    <t>WION</t>
  </si>
  <si>
    <t>Ing. José Intriago Rengifo / Jonathan Moreira</t>
  </si>
  <si>
    <t>galo_jose@hotmail.com</t>
  </si>
  <si>
    <t>983313131</t>
  </si>
  <si>
    <t>ZGAMES</t>
  </si>
  <si>
    <t>Ing. Elizabeth Rodríguez</t>
  </si>
  <si>
    <t>Product Manager</t>
  </si>
  <si>
    <t>oficaldecumplimiento@zgameslatam.com</t>
  </si>
  <si>
    <t>994283082</t>
  </si>
  <si>
    <t>TUTORES ACADÉMICOS</t>
  </si>
  <si>
    <t>Nombre Completo con Título</t>
  </si>
  <si>
    <t>N° Estudiantes Asignados</t>
  </si>
  <si>
    <t>Ing. Juan Carlos Sendón Varela. Mg.</t>
  </si>
  <si>
    <t>Ing. José Jacinto Reyes Cárdenas. Mg.</t>
  </si>
  <si>
    <t>Ing. Carlos Manosalvas García. Mg.</t>
  </si>
  <si>
    <t>Ing. Fabricio Javier Rivadeneira Zambrano. Mg.</t>
  </si>
  <si>
    <t>Ing. Luis Jacinto Mendoza Cuzme. Mg.</t>
  </si>
  <si>
    <t>Ing. Walter Colón García Vélez. Mg.</t>
  </si>
  <si>
    <t>Ing. Robert Wilfrido Moreira Centeno, Mg</t>
  </si>
  <si>
    <t>Ing. Hiraida Monserrate Santana Cedeño. Mg.</t>
  </si>
  <si>
    <t>Ing. Willian Jesus Zamora Mero. PhD.</t>
  </si>
  <si>
    <t>Ing. Luigi Fabian Pihuave Calderon. Mg.</t>
  </si>
  <si>
    <t>Ing. Marco Wellington Ayovi Ramirez. PhD.</t>
  </si>
  <si>
    <t>Ing. Walter Daniel Parraga Andrade. Mg.</t>
  </si>
  <si>
    <t>ASIGNACIÓN DE PRÁCTICAS  ·  elija estudiante, empresa y tutor; el resto se completa solo</t>
  </si>
  <si>
    <t>Empresa Receptora</t>
  </si>
  <si>
    <t>Email Empresa</t>
  </si>
  <si>
    <t>Teléfono Empresa</t>
  </si>
  <si>
    <t>Tutor Académico</t>
  </si>
  <si>
    <t>Área de Desempeño</t>
  </si>
  <si>
    <t>Soporte Técnico</t>
  </si>
  <si>
    <t>Sistemas</t>
  </si>
  <si>
    <t>TI</t>
  </si>
  <si>
    <t>Redes y Comunicaciones</t>
  </si>
  <si>
    <t>Desarrollo de Software</t>
  </si>
  <si>
    <t>Gestión Académica</t>
  </si>
  <si>
    <t>Laboratorio de Cómputo</t>
  </si>
  <si>
    <t>Infraestructura y Servidores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</si>
</sst>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2"/>
      <name val="Calibri"/>
    </font>
    <font>
      <color rgb="FF334155"/>
      <sz val="11"/>
      <name val="Calibri"/>
    </font>
    <font>
      <b/>
      <color rgb="FF1F3864"/>
      <sz val="11"/>
      <name val="Calibri"/>
    </font>
    <font>
      <b/>
      <color rgb="FF1F2937"/>
      <sz val="10.5"/>
      <name val="Calibri"/>
    </font>
    <font>
      <b/>
      <color rgb="FF667085"/>
      <sz val="10.5"/>
      <name val="Calibri"/>
    </font>
    <font>
      <b/>
      <color rgb="FF1F3864"/>
    </font>
    <font>
      <i/>
      <color rgb="FF667085"/>
      <sz val="10.5"/>
    </font>
    <font>
      <sz val="10.5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  <fill>
      <patternFill patternType="solid">
        <fgColor rgb="FFF3F4F6"/>
      </patternFill>
    </fill>
    <fill>
      <patternFill patternType="solid">
        <fgColor rgb="FFFFF7E6"/>
      </patternFill>
    </fill>
  </fills>
  <borders count="2">
    <border>
      <left/>
      <right/>
      <top/>
      <bottom/>
      <diagonal/>
    </border>
    <border>
      <left/>
      <right/>
      <top/>
      <bottom style="thin">
        <color rgb="FF9BA7B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vertical="center" wrapText="1"/>
    </xf>
    <xf numFmtId="49" fontId="0" fillId="0" borderId="0" xfId="0" applyNumberFormat="1"/>
    <xf numFmtId="0" fontId="5" fillId="4" borderId="1" xfId="0" applyFont="1" applyFill="1" applyBorder="1" applyAlignment="1">
      <alignment vertical="center" wrapText="1"/>
    </xf>
    <xf numFmtId="0" fontId="6" fillId="0" borderId="0" xfId="0" applyFont="1" applyAlignment="1">
      <alignment horizontal="center"/>
    </xf>
    <xf numFmtId="49" fontId="7" fillId="0" borderId="0" xfId="0" applyNumberFormat="1" applyFont="1"/>
    <xf numFmtId="0" fontId="8" fillId="5" borderId="0" xfId="0" applyFont="1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FormatPr defaultRowHeight="15" outlineLevelRow="0" outlineLevelCol="0" x14ac:dyDescent="55"/>
  <cols>
    <col min="1" max="1" width="4" customWidth="1"/>
    <col min="2" max="2" width="104" customWidth="1"/>
  </cols>
  <sheetData>
    <row r="1" ht="26" customHeight="1" spans="1:2" x14ac:dyDescent="0.25">
      <c r="A1" s="1" t="s">
        <v>0</v>
      </c>
      <c r="B1" s="1"/>
    </row>
    <row r="3" spans="2:2" x14ac:dyDescent="0.25">
      <c r="B3" s="2" t="s">
        <v>1</v>
      </c>
    </row>
    <row r="4" spans="2:2" x14ac:dyDescent="0.25">
      <c r="B4" s="2" t="s">
        <v>2</v>
      </c>
    </row>
    <row r="5" spans="2:2" x14ac:dyDescent="0.25">
      <c r="B5" s="2" t="s">
        <v>3</v>
      </c>
    </row>
    <row r="6" spans="2:2" x14ac:dyDescent="0.25">
      <c r="B6" s="2" t="s">
        <v>1</v>
      </c>
    </row>
    <row r="7" spans="2:2" x14ac:dyDescent="0.25">
      <c r="B7" s="3" t="s">
        <v>4</v>
      </c>
    </row>
    <row r="8" spans="2:2" x14ac:dyDescent="0.25">
      <c r="B8" s="2" t="s">
        <v>5</v>
      </c>
    </row>
    <row r="9" spans="2:2" x14ac:dyDescent="0.25">
      <c r="B9" s="2" t="s">
        <v>6</v>
      </c>
    </row>
    <row r="10" spans="2:2" x14ac:dyDescent="0.25">
      <c r="B10" s="2" t="s">
        <v>1</v>
      </c>
    </row>
    <row r="11" spans="2:2" x14ac:dyDescent="0.25">
      <c r="B11" s="3" t="s">
        <v>7</v>
      </c>
    </row>
    <row r="12" spans="2:2" x14ac:dyDescent="0.25">
      <c r="B12" s="2" t="s">
        <v>8</v>
      </c>
    </row>
    <row r="13" spans="2:2" x14ac:dyDescent="0.25">
      <c r="B13" s="2" t="s">
        <v>9</v>
      </c>
    </row>
    <row r="14" spans="2:2" x14ac:dyDescent="0.25">
      <c r="B14" s="2" t="s">
        <v>10</v>
      </c>
    </row>
    <row r="15" spans="2:2" x14ac:dyDescent="0.25">
      <c r="B15" s="2" t="s">
        <v>1</v>
      </c>
    </row>
    <row r="16" spans="2:2" x14ac:dyDescent="0.25">
      <c r="B16" s="3" t="s">
        <v>11</v>
      </c>
    </row>
    <row r="17" spans="2:2" x14ac:dyDescent="0.25">
      <c r="B17" s="2" t="s">
        <v>12</v>
      </c>
    </row>
    <row r="18" spans="2:2" x14ac:dyDescent="0.25">
      <c r="B18" s="2" t="s">
        <v>13</v>
      </c>
    </row>
    <row r="19" spans="2:2" x14ac:dyDescent="0.25">
      <c r="B19" s="2" t="s">
        <v>1</v>
      </c>
    </row>
    <row r="20" spans="2:2" x14ac:dyDescent="0.25">
      <c r="B20" s="3" t="s">
        <v>14</v>
      </c>
    </row>
    <row r="21" spans="2:2" x14ac:dyDescent="0.25">
      <c r="B21" s="2" t="s">
        <v>15</v>
      </c>
    </row>
    <row r="22" spans="2:2" x14ac:dyDescent="0.25">
      <c r="B22" s="2" t="s">
        <v>16</v>
      </c>
    </row>
    <row r="23" spans="2:2" x14ac:dyDescent="0.25">
      <c r="B23" s="2" t="s">
        <v>17</v>
      </c>
    </row>
    <row r="24" spans="2:2" x14ac:dyDescent="0.25">
      <c r="B24" s="2" t="s">
        <v>18</v>
      </c>
    </row>
    <row r="25" spans="2:2" x14ac:dyDescent="0.25">
      <c r="B25" s="2" t="s">
        <v>19</v>
      </c>
    </row>
    <row r="26" spans="2:2" x14ac:dyDescent="0.25">
      <c r="B26" s="2" t="s">
        <v>1</v>
      </c>
    </row>
    <row r="27" spans="2:2" x14ac:dyDescent="0.25">
      <c r="B27" s="3" t="s">
        <v>20</v>
      </c>
    </row>
    <row r="28" spans="2:2" x14ac:dyDescent="0.25">
      <c r="B28" s="2" t="s">
        <v>21</v>
      </c>
    </row>
    <row r="29" spans="2:2" x14ac:dyDescent="0.25">
      <c r="B29" s="2" t="s">
        <v>22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3" customWidth="1"/>
    <col min="3" max="3" width="36" customWidth="1"/>
    <col min="4" max="4" width="32" customWidth="1"/>
    <col min="5" max="5" width="26" customWidth="1"/>
    <col min="6" max="6" width="13" customWidth="1"/>
    <col min="7" max="7" width="26" customWidth="1"/>
    <col min="8" max="8" width="15" customWidth="1"/>
    <col min="9" max="9" width="8" customWidth="1"/>
    <col min="10" max="10" width="10" customWidth="1"/>
  </cols>
  <sheetData>
    <row r="1" ht="26" customHeight="1" spans="1:10" x14ac:dyDescent="0.25">
      <c r="A1" s="1" t="s">
        <v>23</v>
      </c>
      <c r="B1" s="1"/>
      <c r="C1" s="1"/>
      <c r="D1" s="1"/>
      <c r="E1" s="1"/>
      <c r="F1" s="1"/>
      <c r="G1" s="1"/>
      <c r="H1" s="1"/>
      <c r="I1" s="1"/>
      <c r="J1" s="1"/>
    </row>
    <row r="2" ht="30" customHeight="1" spans="1:10" x14ac:dyDescent="0.25">
      <c r="A2" s="4" t="s">
        <v>24</v>
      </c>
      <c r="B2" s="4" t="s">
        <v>25</v>
      </c>
      <c r="C2" s="4" t="s">
        <v>26</v>
      </c>
      <c r="D2" s="4" t="s">
        <v>27</v>
      </c>
      <c r="E2" s="4" t="s">
        <v>28</v>
      </c>
      <c r="F2" s="4" t="s">
        <v>29</v>
      </c>
      <c r="G2" s="4" t="s">
        <v>30</v>
      </c>
      <c r="H2" s="4" t="s">
        <v>31</v>
      </c>
      <c r="I2" s="4" t="s">
        <v>32</v>
      </c>
      <c r="J2" s="4" t="s">
        <v>33</v>
      </c>
    </row>
    <row r="3" spans="1:10" x14ac:dyDescent="0.25">
      <c r="A3">
        <v>1</v>
      </c>
      <c r="B3" s="5" t="s">
        <v>34</v>
      </c>
      <c r="C3" t="s">
        <v>35</v>
      </c>
      <c r="D3" t="s">
        <v>36</v>
      </c>
      <c r="E3" t="s">
        <v>37</v>
      </c>
      <c r="F3" s="5" t="s">
        <v>38</v>
      </c>
      <c r="G3" t="s">
        <v>39</v>
      </c>
      <c r="H3" t="s">
        <v>40</v>
      </c>
      <c r="I3">
        <v>120</v>
      </c>
      <c r="J3" t="s">
        <v>41</v>
      </c>
    </row>
    <row r="4" spans="1:10" x14ac:dyDescent="0.25">
      <c r="A4">
        <v>2</v>
      </c>
      <c r="B4" s="5" t="s">
        <v>42</v>
      </c>
      <c r="C4" t="s">
        <v>43</v>
      </c>
      <c r="D4" t="s">
        <v>44</v>
      </c>
      <c r="E4" t="s">
        <v>37</v>
      </c>
      <c r="F4" s="5" t="s">
        <v>45</v>
      </c>
      <c r="G4" t="s">
        <v>46</v>
      </c>
      <c r="H4" t="s">
        <v>47</v>
      </c>
      <c r="I4">
        <v>192</v>
      </c>
      <c r="J4" t="s">
        <v>41</v>
      </c>
    </row>
    <row r="5" spans="1:10" x14ac:dyDescent="0.25">
      <c r="A5">
        <v>3</v>
      </c>
      <c r="B5" s="5" t="s">
        <v>48</v>
      </c>
      <c r="C5" t="s">
        <v>49</v>
      </c>
      <c r="D5" t="s">
        <v>50</v>
      </c>
      <c r="E5" t="s">
        <v>37</v>
      </c>
      <c r="F5" s="5" t="s">
        <v>51</v>
      </c>
      <c r="G5" t="s">
        <v>46</v>
      </c>
      <c r="H5" t="s">
        <v>47</v>
      </c>
      <c r="I5">
        <v>180</v>
      </c>
      <c r="J5" t="s">
        <v>41</v>
      </c>
    </row>
    <row r="6" spans="1:10" x14ac:dyDescent="0.25">
      <c r="A6">
        <v>4</v>
      </c>
      <c r="B6" s="5" t="s">
        <v>52</v>
      </c>
      <c r="C6" t="s">
        <v>53</v>
      </c>
      <c r="D6" t="s">
        <v>54</v>
      </c>
      <c r="E6" t="s">
        <v>37</v>
      </c>
      <c r="F6" s="5" t="s">
        <v>55</v>
      </c>
      <c r="G6" t="s">
        <v>46</v>
      </c>
      <c r="H6" t="s">
        <v>47</v>
      </c>
      <c r="I6">
        <v>192</v>
      </c>
      <c r="J6" t="s">
        <v>41</v>
      </c>
    </row>
    <row r="7" spans="1:10" x14ac:dyDescent="0.25">
      <c r="A7">
        <v>5</v>
      </c>
      <c r="B7" s="5" t="s">
        <v>56</v>
      </c>
      <c r="C7" t="s">
        <v>57</v>
      </c>
      <c r="D7" t="s">
        <v>58</v>
      </c>
      <c r="E7" t="s">
        <v>37</v>
      </c>
      <c r="F7" s="5" t="s">
        <v>59</v>
      </c>
      <c r="G7" t="s">
        <v>39</v>
      </c>
      <c r="H7" t="s">
        <v>40</v>
      </c>
      <c r="I7">
        <v>120</v>
      </c>
      <c r="J7" t="s">
        <v>41</v>
      </c>
    </row>
    <row r="8" spans="1:10" x14ac:dyDescent="0.25">
      <c r="A8">
        <v>6</v>
      </c>
      <c r="B8" s="5" t="s">
        <v>60</v>
      </c>
      <c r="C8" t="s">
        <v>61</v>
      </c>
      <c r="D8" t="s">
        <v>62</v>
      </c>
      <c r="E8" t="s">
        <v>37</v>
      </c>
      <c r="F8" s="5" t="s">
        <v>63</v>
      </c>
      <c r="G8" t="s">
        <v>46</v>
      </c>
      <c r="H8" t="s">
        <v>47</v>
      </c>
      <c r="I8">
        <v>180</v>
      </c>
      <c r="J8" t="s">
        <v>41</v>
      </c>
    </row>
    <row r="9" spans="1:10" x14ac:dyDescent="0.25">
      <c r="A9">
        <v>7</v>
      </c>
      <c r="B9" s="5" t="s">
        <v>64</v>
      </c>
      <c r="C9" t="s">
        <v>65</v>
      </c>
      <c r="D9" t="s">
        <v>66</v>
      </c>
      <c r="E9" t="s">
        <v>37</v>
      </c>
      <c r="F9" s="5" t="s">
        <v>67</v>
      </c>
      <c r="G9" t="s">
        <v>46</v>
      </c>
      <c r="H9" t="s">
        <v>47</v>
      </c>
      <c r="I9">
        <v>192</v>
      </c>
      <c r="J9" t="s">
        <v>41</v>
      </c>
    </row>
    <row r="10" spans="1:10" x14ac:dyDescent="0.25">
      <c r="A10">
        <v>8</v>
      </c>
      <c r="B10" s="5" t="s">
        <v>68</v>
      </c>
      <c r="C10" t="s">
        <v>69</v>
      </c>
      <c r="D10" t="s">
        <v>70</v>
      </c>
      <c r="E10" t="s">
        <v>37</v>
      </c>
      <c r="F10" s="5" t="s">
        <v>71</v>
      </c>
      <c r="G10" t="s">
        <v>46</v>
      </c>
      <c r="H10" t="s">
        <v>47</v>
      </c>
      <c r="I10">
        <v>192</v>
      </c>
      <c r="J10" t="s">
        <v>41</v>
      </c>
    </row>
    <row r="11" spans="1:10" x14ac:dyDescent="0.25">
      <c r="A11">
        <v>9</v>
      </c>
      <c r="B11" s="5" t="s">
        <v>72</v>
      </c>
      <c r="C11" t="s">
        <v>73</v>
      </c>
      <c r="D11" t="s">
        <v>74</v>
      </c>
      <c r="E11" t="s">
        <v>37</v>
      </c>
      <c r="F11" s="5" t="s">
        <v>75</v>
      </c>
      <c r="G11" t="s">
        <v>46</v>
      </c>
      <c r="H11" t="s">
        <v>47</v>
      </c>
      <c r="I11">
        <v>192</v>
      </c>
      <c r="J11" t="s">
        <v>41</v>
      </c>
    </row>
    <row r="12" spans="1:10" x14ac:dyDescent="0.25">
      <c r="A12">
        <v>10</v>
      </c>
      <c r="B12" s="5" t="s">
        <v>76</v>
      </c>
      <c r="C12" t="s">
        <v>77</v>
      </c>
      <c r="D12" t="s">
        <v>78</v>
      </c>
      <c r="E12" t="s">
        <v>37</v>
      </c>
      <c r="F12" s="5" t="s">
        <v>79</v>
      </c>
      <c r="G12" t="s">
        <v>39</v>
      </c>
      <c r="H12" t="s">
        <v>40</v>
      </c>
      <c r="I12">
        <v>120</v>
      </c>
      <c r="J12" t="s">
        <v>41</v>
      </c>
    </row>
    <row r="13" spans="1:10" x14ac:dyDescent="0.25">
      <c r="A13">
        <v>11</v>
      </c>
      <c r="B13" s="5" t="s">
        <v>80</v>
      </c>
      <c r="C13" t="s">
        <v>81</v>
      </c>
      <c r="D13" t="s">
        <v>82</v>
      </c>
      <c r="E13" t="s">
        <v>37</v>
      </c>
      <c r="F13" s="5" t="s">
        <v>83</v>
      </c>
      <c r="G13" t="s">
        <v>46</v>
      </c>
      <c r="H13" t="s">
        <v>47</v>
      </c>
      <c r="I13">
        <v>180</v>
      </c>
      <c r="J13" t="s">
        <v>41</v>
      </c>
    </row>
    <row r="14" spans="1:10" x14ac:dyDescent="0.25">
      <c r="A14">
        <v>12</v>
      </c>
      <c r="B14" s="5" t="s">
        <v>84</v>
      </c>
      <c r="C14" t="s">
        <v>85</v>
      </c>
      <c r="D14" t="s">
        <v>86</v>
      </c>
      <c r="E14" t="s">
        <v>37</v>
      </c>
      <c r="F14" s="5" t="s">
        <v>87</v>
      </c>
      <c r="G14" t="s">
        <v>46</v>
      </c>
      <c r="H14" t="s">
        <v>47</v>
      </c>
      <c r="I14">
        <v>192</v>
      </c>
      <c r="J14" t="s">
        <v>41</v>
      </c>
    </row>
    <row r="15" spans="1:10" x14ac:dyDescent="0.25">
      <c r="A15">
        <v>13</v>
      </c>
      <c r="B15" s="5" t="s">
        <v>88</v>
      </c>
      <c r="C15" t="s">
        <v>89</v>
      </c>
      <c r="D15" t="s">
        <v>90</v>
      </c>
      <c r="E15" t="s">
        <v>37</v>
      </c>
      <c r="F15" s="5" t="s">
        <v>91</v>
      </c>
      <c r="G15" t="s">
        <v>39</v>
      </c>
      <c r="H15" t="s">
        <v>40</v>
      </c>
      <c r="I15">
        <v>120</v>
      </c>
      <c r="J15" t="s">
        <v>41</v>
      </c>
    </row>
    <row r="16" spans="1:10" x14ac:dyDescent="0.25">
      <c r="A16">
        <v>14</v>
      </c>
      <c r="B16" s="5" t="s">
        <v>92</v>
      </c>
      <c r="C16" t="s">
        <v>93</v>
      </c>
      <c r="D16" t="s">
        <v>94</v>
      </c>
      <c r="E16" t="s">
        <v>37</v>
      </c>
      <c r="F16" s="5" t="s">
        <v>95</v>
      </c>
      <c r="G16" t="s">
        <v>39</v>
      </c>
      <c r="H16" t="s">
        <v>40</v>
      </c>
      <c r="I16">
        <v>120</v>
      </c>
      <c r="J16" t="s">
        <v>41</v>
      </c>
    </row>
    <row r="17" spans="1:10" x14ac:dyDescent="0.25">
      <c r="A17">
        <v>15</v>
      </c>
      <c r="B17" s="5" t="s">
        <v>96</v>
      </c>
      <c r="C17" t="s">
        <v>97</v>
      </c>
      <c r="D17" t="s">
        <v>98</v>
      </c>
      <c r="E17" t="s">
        <v>37</v>
      </c>
      <c r="F17" s="5" t="s">
        <v>99</v>
      </c>
      <c r="G17" t="s">
        <v>39</v>
      </c>
      <c r="H17" t="s">
        <v>40</v>
      </c>
      <c r="I17">
        <v>120</v>
      </c>
      <c r="J17" t="s">
        <v>41</v>
      </c>
    </row>
    <row r="18" spans="1:10" x14ac:dyDescent="0.25">
      <c r="A18">
        <v>16</v>
      </c>
      <c r="B18" s="5" t="s">
        <v>100</v>
      </c>
      <c r="C18" t="s">
        <v>101</v>
      </c>
      <c r="D18" t="s">
        <v>102</v>
      </c>
      <c r="E18" t="s">
        <v>37</v>
      </c>
      <c r="F18" s="5" t="s">
        <v>103</v>
      </c>
      <c r="G18" t="s">
        <v>39</v>
      </c>
      <c r="H18" t="s">
        <v>40</v>
      </c>
      <c r="I18">
        <v>120</v>
      </c>
      <c r="J18" t="s">
        <v>41</v>
      </c>
    </row>
    <row r="19" spans="1:10" x14ac:dyDescent="0.25">
      <c r="A19">
        <v>17</v>
      </c>
      <c r="B19" s="5" t="s">
        <v>104</v>
      </c>
      <c r="C19" t="s">
        <v>105</v>
      </c>
      <c r="D19" t="s">
        <v>106</v>
      </c>
      <c r="E19" t="s">
        <v>37</v>
      </c>
      <c r="F19" s="5" t="s">
        <v>107</v>
      </c>
      <c r="G19" t="s">
        <v>46</v>
      </c>
      <c r="H19" t="s">
        <v>47</v>
      </c>
      <c r="I19">
        <v>180</v>
      </c>
      <c r="J19" t="s">
        <v>41</v>
      </c>
    </row>
    <row r="20" spans="1:10" x14ac:dyDescent="0.25">
      <c r="A20">
        <v>18</v>
      </c>
      <c r="B20" s="5" t="s">
        <v>108</v>
      </c>
      <c r="C20" t="s">
        <v>109</v>
      </c>
      <c r="D20" t="s">
        <v>110</v>
      </c>
      <c r="E20" t="s">
        <v>37</v>
      </c>
      <c r="F20" s="5" t="s">
        <v>111</v>
      </c>
      <c r="G20" t="s">
        <v>39</v>
      </c>
      <c r="H20" t="s">
        <v>40</v>
      </c>
      <c r="I20">
        <v>120</v>
      </c>
      <c r="J20" t="s">
        <v>41</v>
      </c>
    </row>
    <row r="21" spans="1:10" x14ac:dyDescent="0.25">
      <c r="A21">
        <v>19</v>
      </c>
      <c r="B21" s="5" t="s">
        <v>112</v>
      </c>
      <c r="C21" t="s">
        <v>113</v>
      </c>
      <c r="D21" t="s">
        <v>114</v>
      </c>
      <c r="E21" t="s">
        <v>37</v>
      </c>
      <c r="F21" s="5" t="s">
        <v>115</v>
      </c>
      <c r="G21" t="s">
        <v>46</v>
      </c>
      <c r="H21" t="s">
        <v>47</v>
      </c>
      <c r="I21">
        <v>192</v>
      </c>
      <c r="J21" t="s">
        <v>41</v>
      </c>
    </row>
    <row r="22" spans="1:10" x14ac:dyDescent="0.25">
      <c r="A22">
        <v>20</v>
      </c>
      <c r="B22" s="5" t="s">
        <v>116</v>
      </c>
      <c r="C22" t="s">
        <v>117</v>
      </c>
      <c r="D22" t="s">
        <v>118</v>
      </c>
      <c r="E22" t="s">
        <v>37</v>
      </c>
      <c r="F22" s="5" t="s">
        <v>119</v>
      </c>
      <c r="G22" t="s">
        <v>46</v>
      </c>
      <c r="H22" t="s">
        <v>47</v>
      </c>
      <c r="I22">
        <v>192</v>
      </c>
      <c r="J22" t="s">
        <v>41</v>
      </c>
    </row>
    <row r="23" spans="1:10" x14ac:dyDescent="0.25">
      <c r="A23">
        <v>21</v>
      </c>
      <c r="B23" s="5" t="s">
        <v>120</v>
      </c>
      <c r="C23" t="s">
        <v>121</v>
      </c>
      <c r="D23" t="s">
        <v>122</v>
      </c>
      <c r="E23" t="s">
        <v>37</v>
      </c>
      <c r="F23" s="5" t="s">
        <v>123</v>
      </c>
      <c r="G23" t="s">
        <v>39</v>
      </c>
      <c r="H23" t="s">
        <v>40</v>
      </c>
      <c r="I23">
        <v>120</v>
      </c>
      <c r="J23" t="s">
        <v>41</v>
      </c>
    </row>
    <row r="24" spans="1:10" x14ac:dyDescent="0.25">
      <c r="A24">
        <v>22</v>
      </c>
      <c r="B24" s="5" t="s">
        <v>124</v>
      </c>
      <c r="C24" t="s">
        <v>125</v>
      </c>
      <c r="D24" t="s">
        <v>126</v>
      </c>
      <c r="E24" t="s">
        <v>37</v>
      </c>
      <c r="F24" s="5" t="s">
        <v>127</v>
      </c>
      <c r="G24" t="s">
        <v>46</v>
      </c>
      <c r="H24" t="s">
        <v>47</v>
      </c>
      <c r="I24">
        <v>180</v>
      </c>
      <c r="J24" t="s">
        <v>41</v>
      </c>
    </row>
    <row r="25" spans="1:10" x14ac:dyDescent="0.25">
      <c r="A25">
        <v>23</v>
      </c>
      <c r="B25" s="5" t="s">
        <v>128</v>
      </c>
      <c r="C25" t="s">
        <v>129</v>
      </c>
      <c r="D25" t="s">
        <v>130</v>
      </c>
      <c r="E25" t="s">
        <v>37</v>
      </c>
      <c r="F25" s="5" t="s">
        <v>131</v>
      </c>
      <c r="G25" t="s">
        <v>39</v>
      </c>
      <c r="H25" t="s">
        <v>40</v>
      </c>
      <c r="I25">
        <v>120</v>
      </c>
      <c r="J25" t="s">
        <v>41</v>
      </c>
    </row>
    <row r="26" spans="1:10" x14ac:dyDescent="0.25">
      <c r="A26">
        <v>24</v>
      </c>
      <c r="B26" s="5" t="s">
        <v>132</v>
      </c>
      <c r="C26" t="s">
        <v>133</v>
      </c>
      <c r="D26" t="s">
        <v>134</v>
      </c>
      <c r="E26" t="s">
        <v>37</v>
      </c>
      <c r="F26" s="5" t="s">
        <v>135</v>
      </c>
      <c r="G26" t="s">
        <v>46</v>
      </c>
      <c r="H26" t="s">
        <v>47</v>
      </c>
      <c r="I26">
        <v>180</v>
      </c>
      <c r="J26" t="s">
        <v>41</v>
      </c>
    </row>
    <row r="27" spans="1:10" x14ac:dyDescent="0.25">
      <c r="A27">
        <v>25</v>
      </c>
      <c r="B27" s="5" t="s">
        <v>136</v>
      </c>
      <c r="C27" t="s">
        <v>137</v>
      </c>
      <c r="D27" t="s">
        <v>138</v>
      </c>
      <c r="E27" t="s">
        <v>37</v>
      </c>
      <c r="F27" s="5" t="s">
        <v>139</v>
      </c>
      <c r="G27" t="s">
        <v>39</v>
      </c>
      <c r="H27" t="s">
        <v>40</v>
      </c>
      <c r="I27">
        <v>120</v>
      </c>
      <c r="J27" t="s">
        <v>41</v>
      </c>
    </row>
    <row r="28" spans="1:10" x14ac:dyDescent="0.25">
      <c r="A28">
        <v>26</v>
      </c>
      <c r="B28" s="5" t="s">
        <v>140</v>
      </c>
      <c r="C28" t="s">
        <v>141</v>
      </c>
      <c r="D28" t="s">
        <v>142</v>
      </c>
      <c r="E28" t="s">
        <v>37</v>
      </c>
      <c r="F28" s="5" t="s">
        <v>143</v>
      </c>
      <c r="G28" t="s">
        <v>46</v>
      </c>
      <c r="H28" t="s">
        <v>47</v>
      </c>
      <c r="I28">
        <v>192</v>
      </c>
      <c r="J28" t="s">
        <v>41</v>
      </c>
    </row>
    <row r="29" spans="1:10" x14ac:dyDescent="0.25">
      <c r="A29">
        <v>27</v>
      </c>
      <c r="B29" s="5" t="s">
        <v>144</v>
      </c>
      <c r="C29" t="s">
        <v>145</v>
      </c>
      <c r="D29" t="s">
        <v>146</v>
      </c>
      <c r="E29" t="s">
        <v>37</v>
      </c>
      <c r="F29" s="5" t="s">
        <v>147</v>
      </c>
      <c r="G29" t="s">
        <v>39</v>
      </c>
      <c r="H29" t="s">
        <v>40</v>
      </c>
      <c r="I29">
        <v>120</v>
      </c>
      <c r="J29" t="s">
        <v>41</v>
      </c>
    </row>
    <row r="30" spans="1:10" x14ac:dyDescent="0.25">
      <c r="A30">
        <v>28</v>
      </c>
      <c r="B30" s="5" t="s">
        <v>148</v>
      </c>
      <c r="C30" t="s">
        <v>149</v>
      </c>
      <c r="D30" t="s">
        <v>150</v>
      </c>
      <c r="E30" t="s">
        <v>37</v>
      </c>
      <c r="F30" s="5" t="s">
        <v>151</v>
      </c>
      <c r="G30" t="s">
        <v>46</v>
      </c>
      <c r="H30" t="s">
        <v>47</v>
      </c>
      <c r="I30">
        <v>192</v>
      </c>
      <c r="J30" t="s">
        <v>41</v>
      </c>
    </row>
    <row r="31" spans="1:10" x14ac:dyDescent="0.25">
      <c r="A31">
        <v>29</v>
      </c>
      <c r="B31" s="5" t="s">
        <v>152</v>
      </c>
      <c r="C31" t="s">
        <v>153</v>
      </c>
      <c r="D31" t="s">
        <v>154</v>
      </c>
      <c r="E31" t="s">
        <v>37</v>
      </c>
      <c r="F31" s="5" t="s">
        <v>155</v>
      </c>
      <c r="G31" t="s">
        <v>46</v>
      </c>
      <c r="H31" t="s">
        <v>47</v>
      </c>
      <c r="I31">
        <v>180</v>
      </c>
      <c r="J31" t="s">
        <v>41</v>
      </c>
    </row>
    <row r="32" spans="1:10" x14ac:dyDescent="0.25">
      <c r="A32">
        <v>30</v>
      </c>
      <c r="B32" s="5" t="s">
        <v>156</v>
      </c>
      <c r="C32" t="s">
        <v>157</v>
      </c>
      <c r="D32" t="s">
        <v>158</v>
      </c>
      <c r="E32" t="s">
        <v>37</v>
      </c>
      <c r="F32" s="5" t="s">
        <v>159</v>
      </c>
      <c r="G32" t="s">
        <v>46</v>
      </c>
      <c r="H32" t="s">
        <v>47</v>
      </c>
      <c r="I32">
        <v>180</v>
      </c>
      <c r="J32" t="s">
        <v>41</v>
      </c>
    </row>
    <row r="33" spans="1:10" x14ac:dyDescent="0.25">
      <c r="A33">
        <v>31</v>
      </c>
      <c r="B33" s="5" t="s">
        <v>160</v>
      </c>
      <c r="C33" t="s">
        <v>161</v>
      </c>
      <c r="D33" t="s">
        <v>162</v>
      </c>
      <c r="E33" t="s">
        <v>37</v>
      </c>
      <c r="F33" s="5" t="s">
        <v>163</v>
      </c>
      <c r="G33" t="s">
        <v>46</v>
      </c>
      <c r="H33" t="s">
        <v>47</v>
      </c>
      <c r="I33">
        <v>180</v>
      </c>
      <c r="J33" t="s">
        <v>41</v>
      </c>
    </row>
    <row r="34" spans="1:10" x14ac:dyDescent="0.25">
      <c r="A34">
        <v>32</v>
      </c>
      <c r="B34" s="5" t="s">
        <v>164</v>
      </c>
      <c r="C34" t="s">
        <v>165</v>
      </c>
      <c r="D34" t="s">
        <v>166</v>
      </c>
      <c r="E34" t="s">
        <v>37</v>
      </c>
      <c r="F34" s="5" t="s">
        <v>167</v>
      </c>
      <c r="G34" t="s">
        <v>39</v>
      </c>
      <c r="H34" t="s">
        <v>40</v>
      </c>
      <c r="I34">
        <v>120</v>
      </c>
      <c r="J34" t="s">
        <v>41</v>
      </c>
    </row>
    <row r="35" spans="1:10" x14ac:dyDescent="0.25">
      <c r="A35">
        <v>33</v>
      </c>
      <c r="B35" s="5" t="s">
        <v>168</v>
      </c>
      <c r="C35" t="s">
        <v>169</v>
      </c>
      <c r="D35" t="s">
        <v>170</v>
      </c>
      <c r="E35" t="s">
        <v>37</v>
      </c>
      <c r="F35" s="5" t="s">
        <v>171</v>
      </c>
      <c r="G35" t="s">
        <v>39</v>
      </c>
      <c r="H35" t="s">
        <v>40</v>
      </c>
      <c r="I35">
        <v>120</v>
      </c>
      <c r="J35" t="s">
        <v>41</v>
      </c>
    </row>
    <row r="36" spans="1:10" x14ac:dyDescent="0.25">
      <c r="A36">
        <v>34</v>
      </c>
      <c r="B36" s="5" t="s">
        <v>172</v>
      </c>
      <c r="C36" t="s">
        <v>173</v>
      </c>
      <c r="D36" t="s">
        <v>174</v>
      </c>
      <c r="E36" t="s">
        <v>37</v>
      </c>
      <c r="F36" s="5" t="s">
        <v>175</v>
      </c>
      <c r="G36" t="s">
        <v>46</v>
      </c>
      <c r="H36" t="s">
        <v>47</v>
      </c>
      <c r="I36">
        <v>192</v>
      </c>
      <c r="J36" t="s">
        <v>41</v>
      </c>
    </row>
    <row r="37" spans="1:10" x14ac:dyDescent="0.25">
      <c r="A37">
        <v>35</v>
      </c>
      <c r="B37" s="5" t="s">
        <v>176</v>
      </c>
      <c r="C37" t="s">
        <v>177</v>
      </c>
      <c r="D37" t="s">
        <v>178</v>
      </c>
      <c r="E37" t="s">
        <v>37</v>
      </c>
      <c r="F37" s="5" t="s">
        <v>179</v>
      </c>
      <c r="G37" t="s">
        <v>46</v>
      </c>
      <c r="H37" t="s">
        <v>47</v>
      </c>
      <c r="I37">
        <v>180</v>
      </c>
      <c r="J37" t="s">
        <v>41</v>
      </c>
    </row>
    <row r="38" spans="1:10" x14ac:dyDescent="0.25">
      <c r="A38">
        <v>36</v>
      </c>
      <c r="B38" s="5" t="s">
        <v>180</v>
      </c>
      <c r="C38" t="s">
        <v>181</v>
      </c>
      <c r="D38" t="s">
        <v>182</v>
      </c>
      <c r="E38" t="s">
        <v>37</v>
      </c>
      <c r="F38" s="5" t="s">
        <v>183</v>
      </c>
      <c r="G38" t="s">
        <v>46</v>
      </c>
      <c r="H38" t="s">
        <v>47</v>
      </c>
      <c r="I38">
        <v>180</v>
      </c>
      <c r="J38" t="s">
        <v>41</v>
      </c>
    </row>
    <row r="39" spans="1:10" x14ac:dyDescent="0.25">
      <c r="A39">
        <v>37</v>
      </c>
      <c r="B39" s="5" t="s">
        <v>184</v>
      </c>
      <c r="C39" t="s">
        <v>185</v>
      </c>
      <c r="D39" t="s">
        <v>186</v>
      </c>
      <c r="E39" t="s">
        <v>37</v>
      </c>
      <c r="F39" s="5" t="s">
        <v>187</v>
      </c>
      <c r="G39" t="s">
        <v>39</v>
      </c>
      <c r="H39" t="s">
        <v>40</v>
      </c>
      <c r="I39">
        <v>120</v>
      </c>
      <c r="J39" t="s">
        <v>41</v>
      </c>
    </row>
    <row r="40" spans="1:10" x14ac:dyDescent="0.25">
      <c r="A40">
        <v>38</v>
      </c>
      <c r="B40" s="5" t="s">
        <v>188</v>
      </c>
      <c r="C40" t="s">
        <v>189</v>
      </c>
      <c r="D40" t="s">
        <v>190</v>
      </c>
      <c r="E40" t="s">
        <v>37</v>
      </c>
      <c r="F40" s="5" t="s">
        <v>191</v>
      </c>
      <c r="G40" t="s">
        <v>46</v>
      </c>
      <c r="H40" t="s">
        <v>47</v>
      </c>
      <c r="I40">
        <v>180</v>
      </c>
      <c r="J40" t="s">
        <v>41</v>
      </c>
    </row>
    <row r="41" spans="1:10" x14ac:dyDescent="0.25">
      <c r="A41">
        <v>39</v>
      </c>
      <c r="B41" s="5" t="s">
        <v>192</v>
      </c>
      <c r="C41" t="s">
        <v>193</v>
      </c>
      <c r="D41" t="s">
        <v>194</v>
      </c>
      <c r="E41" t="s">
        <v>37</v>
      </c>
      <c r="F41" s="5" t="s">
        <v>195</v>
      </c>
      <c r="G41" t="s">
        <v>39</v>
      </c>
      <c r="H41" t="s">
        <v>40</v>
      </c>
      <c r="I41">
        <v>120</v>
      </c>
      <c r="J41" t="s">
        <v>41</v>
      </c>
    </row>
    <row r="42" spans="1:10" x14ac:dyDescent="0.25">
      <c r="A42">
        <v>40</v>
      </c>
      <c r="B42" s="5" t="s">
        <v>196</v>
      </c>
      <c r="C42" t="s">
        <v>197</v>
      </c>
      <c r="D42" t="s">
        <v>198</v>
      </c>
      <c r="E42" t="s">
        <v>37</v>
      </c>
      <c r="F42" s="5" t="s">
        <v>199</v>
      </c>
      <c r="G42" t="s">
        <v>46</v>
      </c>
      <c r="H42" t="s">
        <v>47</v>
      </c>
      <c r="I42">
        <v>192</v>
      </c>
      <c r="J42" t="s">
        <v>41</v>
      </c>
    </row>
    <row r="43" spans="1:10" x14ac:dyDescent="0.25">
      <c r="A43">
        <v>41</v>
      </c>
      <c r="B43" s="5" t="s">
        <v>200</v>
      </c>
      <c r="C43" t="s">
        <v>201</v>
      </c>
      <c r="D43" t="s">
        <v>202</v>
      </c>
      <c r="E43" t="s">
        <v>37</v>
      </c>
      <c r="F43" s="5" t="s">
        <v>203</v>
      </c>
      <c r="G43" t="s">
        <v>46</v>
      </c>
      <c r="H43" t="s">
        <v>47</v>
      </c>
      <c r="I43">
        <v>180</v>
      </c>
      <c r="J43" t="s">
        <v>41</v>
      </c>
    </row>
    <row r="44" spans="1:10" x14ac:dyDescent="0.25">
      <c r="A44">
        <v>42</v>
      </c>
      <c r="B44" s="5" t="s">
        <v>204</v>
      </c>
      <c r="C44" t="s">
        <v>205</v>
      </c>
      <c r="D44" t="s">
        <v>206</v>
      </c>
      <c r="E44" t="s">
        <v>37</v>
      </c>
      <c r="F44" s="5" t="s">
        <v>207</v>
      </c>
      <c r="G44" t="s">
        <v>39</v>
      </c>
      <c r="H44" t="s">
        <v>40</v>
      </c>
      <c r="I44">
        <v>120</v>
      </c>
      <c r="J44" t="s">
        <v>41</v>
      </c>
    </row>
    <row r="45" spans="1:10" x14ac:dyDescent="0.25">
      <c r="A45">
        <v>43</v>
      </c>
      <c r="B45" s="5" t="s">
        <v>208</v>
      </c>
      <c r="C45" t="s">
        <v>209</v>
      </c>
      <c r="D45" t="s">
        <v>210</v>
      </c>
      <c r="E45" t="s">
        <v>37</v>
      </c>
      <c r="F45" s="5" t="s">
        <v>211</v>
      </c>
      <c r="G45" t="s">
        <v>39</v>
      </c>
      <c r="H45" t="s">
        <v>40</v>
      </c>
      <c r="I45">
        <v>120</v>
      </c>
      <c r="J45" t="s">
        <v>41</v>
      </c>
    </row>
    <row r="46" spans="1:10" x14ac:dyDescent="0.25">
      <c r="A46">
        <v>44</v>
      </c>
      <c r="B46" s="5" t="s">
        <v>212</v>
      </c>
      <c r="C46" t="s">
        <v>213</v>
      </c>
      <c r="D46" t="s">
        <v>214</v>
      </c>
      <c r="E46" t="s">
        <v>37</v>
      </c>
      <c r="F46" s="5" t="s">
        <v>215</v>
      </c>
      <c r="G46" t="s">
        <v>39</v>
      </c>
      <c r="H46" t="s">
        <v>40</v>
      </c>
      <c r="I46">
        <v>120</v>
      </c>
      <c r="J46" t="s">
        <v>41</v>
      </c>
    </row>
    <row r="47" spans="1:10" x14ac:dyDescent="0.25">
      <c r="A47">
        <v>45</v>
      </c>
      <c r="B47" s="5" t="s">
        <v>216</v>
      </c>
      <c r="C47" t="s">
        <v>217</v>
      </c>
      <c r="D47" t="s">
        <v>218</v>
      </c>
      <c r="E47" t="s">
        <v>37</v>
      </c>
      <c r="F47" s="5" t="s">
        <v>219</v>
      </c>
      <c r="G47" t="s">
        <v>39</v>
      </c>
      <c r="H47" t="s">
        <v>40</v>
      </c>
      <c r="I47">
        <v>120</v>
      </c>
      <c r="J47" t="s">
        <v>41</v>
      </c>
    </row>
    <row r="48" spans="1:10" x14ac:dyDescent="0.25">
      <c r="A48">
        <v>46</v>
      </c>
      <c r="B48" s="5" t="s">
        <v>220</v>
      </c>
      <c r="C48" t="s">
        <v>221</v>
      </c>
      <c r="D48" t="s">
        <v>222</v>
      </c>
      <c r="E48" t="s">
        <v>37</v>
      </c>
      <c r="F48" s="5" t="s">
        <v>223</v>
      </c>
      <c r="G48" t="s">
        <v>39</v>
      </c>
      <c r="H48" t="s">
        <v>40</v>
      </c>
      <c r="I48">
        <v>120</v>
      </c>
      <c r="J48" t="s">
        <v>41</v>
      </c>
    </row>
    <row r="49" spans="1:10" x14ac:dyDescent="0.25">
      <c r="A49">
        <v>47</v>
      </c>
      <c r="B49" s="5" t="s">
        <v>224</v>
      </c>
      <c r="C49" t="s">
        <v>225</v>
      </c>
      <c r="D49" t="s">
        <v>226</v>
      </c>
      <c r="E49" t="s">
        <v>37</v>
      </c>
      <c r="F49" s="5" t="s">
        <v>227</v>
      </c>
      <c r="G49" t="s">
        <v>39</v>
      </c>
      <c r="H49" t="s">
        <v>40</v>
      </c>
      <c r="I49">
        <v>120</v>
      </c>
      <c r="J49" t="s">
        <v>41</v>
      </c>
    </row>
    <row r="50" spans="1:10" x14ac:dyDescent="0.25">
      <c r="A50">
        <v>48</v>
      </c>
      <c r="B50" s="5" t="s">
        <v>228</v>
      </c>
      <c r="C50" t="s">
        <v>229</v>
      </c>
      <c r="D50" t="s">
        <v>230</v>
      </c>
      <c r="E50" t="s">
        <v>37</v>
      </c>
      <c r="F50" s="5" t="s">
        <v>231</v>
      </c>
      <c r="G50" t="s">
        <v>46</v>
      </c>
      <c r="H50" t="s">
        <v>47</v>
      </c>
      <c r="I50">
        <v>180</v>
      </c>
      <c r="J50" t="s">
        <v>41</v>
      </c>
    </row>
    <row r="51" spans="1:10" x14ac:dyDescent="0.25">
      <c r="A51">
        <v>49</v>
      </c>
      <c r="B51" s="5" t="s">
        <v>232</v>
      </c>
      <c r="C51" t="s">
        <v>233</v>
      </c>
      <c r="D51" t="s">
        <v>234</v>
      </c>
      <c r="E51" t="s">
        <v>37</v>
      </c>
      <c r="F51" s="5" t="s">
        <v>235</v>
      </c>
      <c r="G51" t="s">
        <v>46</v>
      </c>
      <c r="H51" t="s">
        <v>47</v>
      </c>
      <c r="I51">
        <v>192</v>
      </c>
      <c r="J51" t="s">
        <v>41</v>
      </c>
    </row>
    <row r="52" spans="1:10" x14ac:dyDescent="0.25">
      <c r="A52">
        <v>50</v>
      </c>
      <c r="B52" s="5" t="s">
        <v>236</v>
      </c>
      <c r="C52" t="s">
        <v>237</v>
      </c>
      <c r="D52" t="s">
        <v>238</v>
      </c>
      <c r="E52" t="s">
        <v>37</v>
      </c>
      <c r="F52" s="5" t="s">
        <v>239</v>
      </c>
      <c r="G52" t="s">
        <v>46</v>
      </c>
      <c r="H52" t="s">
        <v>47</v>
      </c>
      <c r="I52">
        <v>180</v>
      </c>
      <c r="J52" t="s">
        <v>41</v>
      </c>
    </row>
    <row r="53" spans="1:10" x14ac:dyDescent="0.25">
      <c r="A53">
        <v>51</v>
      </c>
      <c r="B53" s="5" t="s">
        <v>240</v>
      </c>
      <c r="C53" t="s">
        <v>241</v>
      </c>
      <c r="D53" t="s">
        <v>242</v>
      </c>
      <c r="E53" t="s">
        <v>37</v>
      </c>
      <c r="F53" s="5" t="s">
        <v>243</v>
      </c>
      <c r="G53" t="s">
        <v>46</v>
      </c>
      <c r="H53" t="s">
        <v>47</v>
      </c>
      <c r="I53">
        <v>192</v>
      </c>
      <c r="J53" t="s">
        <v>41</v>
      </c>
    </row>
    <row r="54" spans="1:10" x14ac:dyDescent="0.25">
      <c r="A54">
        <v>52</v>
      </c>
      <c r="B54" s="5" t="s">
        <v>244</v>
      </c>
      <c r="C54" t="s">
        <v>245</v>
      </c>
      <c r="D54" t="s">
        <v>246</v>
      </c>
      <c r="E54" t="s">
        <v>37</v>
      </c>
      <c r="F54" s="5" t="s">
        <v>247</v>
      </c>
      <c r="G54" t="s">
        <v>39</v>
      </c>
      <c r="H54" t="s">
        <v>40</v>
      </c>
      <c r="I54">
        <v>120</v>
      </c>
      <c r="J54" t="s">
        <v>41</v>
      </c>
    </row>
    <row r="55" spans="1:10" x14ac:dyDescent="0.25">
      <c r="A55">
        <v>53</v>
      </c>
      <c r="B55" s="5" t="s">
        <v>248</v>
      </c>
      <c r="C55" t="s">
        <v>249</v>
      </c>
      <c r="D55" t="s">
        <v>250</v>
      </c>
      <c r="E55" t="s">
        <v>37</v>
      </c>
      <c r="F55" s="5" t="s">
        <v>251</v>
      </c>
      <c r="G55" t="s">
        <v>46</v>
      </c>
      <c r="H55" t="s">
        <v>47</v>
      </c>
      <c r="I55">
        <v>192</v>
      </c>
      <c r="J55" t="s">
        <v>41</v>
      </c>
    </row>
    <row r="56" spans="1:10" x14ac:dyDescent="0.25">
      <c r="A56">
        <v>54</v>
      </c>
      <c r="B56" s="5" t="s">
        <v>252</v>
      </c>
      <c r="C56" t="s">
        <v>253</v>
      </c>
      <c r="D56" t="s">
        <v>254</v>
      </c>
      <c r="E56" t="s">
        <v>37</v>
      </c>
      <c r="F56" s="5" t="s">
        <v>255</v>
      </c>
      <c r="G56" t="s">
        <v>39</v>
      </c>
      <c r="H56" t="s">
        <v>40</v>
      </c>
      <c r="I56">
        <v>120</v>
      </c>
      <c r="J56" t="s">
        <v>41</v>
      </c>
    </row>
    <row r="57" spans="1:10" x14ac:dyDescent="0.25">
      <c r="A57">
        <v>55</v>
      </c>
      <c r="B57" s="5" t="s">
        <v>256</v>
      </c>
      <c r="C57" t="s">
        <v>257</v>
      </c>
      <c r="D57" t="s">
        <v>258</v>
      </c>
      <c r="E57" t="s">
        <v>37</v>
      </c>
      <c r="F57" s="5" t="s">
        <v>259</v>
      </c>
      <c r="G57" t="s">
        <v>46</v>
      </c>
      <c r="H57" t="s">
        <v>47</v>
      </c>
      <c r="I57">
        <v>180</v>
      </c>
      <c r="J57" t="s">
        <v>41</v>
      </c>
    </row>
    <row r="58" spans="1:10" x14ac:dyDescent="0.25">
      <c r="A58">
        <v>56</v>
      </c>
      <c r="B58" s="5" t="s">
        <v>260</v>
      </c>
      <c r="C58" t="s">
        <v>261</v>
      </c>
      <c r="D58" t="s">
        <v>262</v>
      </c>
      <c r="E58" t="s">
        <v>37</v>
      </c>
      <c r="F58" s="5" t="s">
        <v>263</v>
      </c>
      <c r="G58" t="s">
        <v>39</v>
      </c>
      <c r="H58" t="s">
        <v>40</v>
      </c>
      <c r="I58">
        <v>120</v>
      </c>
      <c r="J58" t="s">
        <v>41</v>
      </c>
    </row>
    <row r="59" spans="1:10" x14ac:dyDescent="0.25">
      <c r="A59">
        <v>57</v>
      </c>
      <c r="B59" s="5" t="s">
        <v>264</v>
      </c>
      <c r="C59" t="s">
        <v>265</v>
      </c>
      <c r="D59" t="s">
        <v>266</v>
      </c>
      <c r="E59" t="s">
        <v>37</v>
      </c>
      <c r="F59" s="5" t="s">
        <v>267</v>
      </c>
      <c r="G59" t="s">
        <v>46</v>
      </c>
      <c r="H59" t="s">
        <v>47</v>
      </c>
      <c r="I59">
        <v>180</v>
      </c>
      <c r="J59" t="s">
        <v>41</v>
      </c>
    </row>
    <row r="60" spans="1:10" x14ac:dyDescent="0.25">
      <c r="A60">
        <v>58</v>
      </c>
      <c r="B60" s="5" t="s">
        <v>268</v>
      </c>
      <c r="C60" t="s">
        <v>269</v>
      </c>
      <c r="D60" t="s">
        <v>270</v>
      </c>
      <c r="E60" t="s">
        <v>37</v>
      </c>
      <c r="F60" s="5" t="s">
        <v>271</v>
      </c>
      <c r="G60" t="s">
        <v>46</v>
      </c>
      <c r="H60" t="s">
        <v>47</v>
      </c>
      <c r="I60">
        <v>192</v>
      </c>
      <c r="J60" t="s">
        <v>41</v>
      </c>
    </row>
    <row r="61" spans="1:10" x14ac:dyDescent="0.25">
      <c r="A61">
        <v>59</v>
      </c>
      <c r="B61" s="5" t="s">
        <v>272</v>
      </c>
      <c r="C61" t="s">
        <v>273</v>
      </c>
      <c r="D61" t="s">
        <v>274</v>
      </c>
      <c r="E61" t="s">
        <v>37</v>
      </c>
      <c r="F61" s="5" t="s">
        <v>275</v>
      </c>
      <c r="G61" t="s">
        <v>46</v>
      </c>
      <c r="H61" t="s">
        <v>47</v>
      </c>
      <c r="I61">
        <v>192</v>
      </c>
      <c r="J61" t="s">
        <v>41</v>
      </c>
    </row>
    <row r="62" spans="1:10" x14ac:dyDescent="0.25">
      <c r="A62">
        <v>60</v>
      </c>
      <c r="B62" s="5" t="s">
        <v>276</v>
      </c>
      <c r="C62" t="s">
        <v>277</v>
      </c>
      <c r="D62" t="s">
        <v>278</v>
      </c>
      <c r="E62" t="s">
        <v>37</v>
      </c>
      <c r="F62" s="5" t="s">
        <v>279</v>
      </c>
      <c r="G62" t="s">
        <v>39</v>
      </c>
      <c r="H62" t="s">
        <v>40</v>
      </c>
      <c r="I62">
        <v>120</v>
      </c>
      <c r="J62" t="s">
        <v>41</v>
      </c>
    </row>
    <row r="63" spans="1:10" x14ac:dyDescent="0.25">
      <c r="A63">
        <v>61</v>
      </c>
      <c r="B63" s="5" t="s">
        <v>280</v>
      </c>
      <c r="C63" t="s">
        <v>281</v>
      </c>
      <c r="D63" t="s">
        <v>282</v>
      </c>
      <c r="E63" t="s">
        <v>37</v>
      </c>
      <c r="F63" s="5" t="s">
        <v>283</v>
      </c>
      <c r="G63" t="s">
        <v>39</v>
      </c>
      <c r="H63" t="s">
        <v>40</v>
      </c>
      <c r="I63">
        <v>120</v>
      </c>
      <c r="J63" t="s">
        <v>41</v>
      </c>
    </row>
    <row r="64" spans="1:10" x14ac:dyDescent="0.25">
      <c r="A64">
        <v>62</v>
      </c>
      <c r="B64" s="5" t="s">
        <v>284</v>
      </c>
      <c r="C64" t="s">
        <v>285</v>
      </c>
      <c r="D64" t="s">
        <v>286</v>
      </c>
      <c r="E64" t="s">
        <v>37</v>
      </c>
      <c r="F64" s="5" t="s">
        <v>287</v>
      </c>
      <c r="G64" t="s">
        <v>46</v>
      </c>
      <c r="H64" t="s">
        <v>47</v>
      </c>
      <c r="I64">
        <v>192</v>
      </c>
      <c r="J64" t="s">
        <v>41</v>
      </c>
    </row>
    <row r="65" spans="1:10" x14ac:dyDescent="0.25">
      <c r="A65">
        <v>63</v>
      </c>
      <c r="B65" s="5" t="s">
        <v>288</v>
      </c>
      <c r="C65" t="s">
        <v>289</v>
      </c>
      <c r="D65" t="s">
        <v>290</v>
      </c>
      <c r="E65" t="s">
        <v>37</v>
      </c>
      <c r="F65" s="5" t="s">
        <v>291</v>
      </c>
      <c r="G65" t="s">
        <v>39</v>
      </c>
      <c r="H65" t="s">
        <v>40</v>
      </c>
      <c r="I65">
        <v>120</v>
      </c>
      <c r="J65" t="s">
        <v>41</v>
      </c>
    </row>
    <row r="66" spans="1:10" x14ac:dyDescent="0.25">
      <c r="A66">
        <v>64</v>
      </c>
      <c r="B66" s="5" t="s">
        <v>292</v>
      </c>
      <c r="C66" t="s">
        <v>293</v>
      </c>
      <c r="D66" t="s">
        <v>294</v>
      </c>
      <c r="E66" t="s">
        <v>37</v>
      </c>
      <c r="F66" s="5" t="s">
        <v>295</v>
      </c>
      <c r="G66" t="s">
        <v>46</v>
      </c>
      <c r="H66" t="s">
        <v>47</v>
      </c>
      <c r="I66">
        <v>192</v>
      </c>
      <c r="J66" t="s">
        <v>41</v>
      </c>
    </row>
    <row r="67" spans="1:10" x14ac:dyDescent="0.25">
      <c r="A67">
        <v>65</v>
      </c>
      <c r="B67" s="5" t="s">
        <v>296</v>
      </c>
      <c r="C67" t="s">
        <v>297</v>
      </c>
      <c r="D67" t="s">
        <v>298</v>
      </c>
      <c r="E67" t="s">
        <v>37</v>
      </c>
      <c r="F67" s="5" t="s">
        <v>299</v>
      </c>
      <c r="G67" t="s">
        <v>39</v>
      </c>
      <c r="H67" t="s">
        <v>40</v>
      </c>
      <c r="I67">
        <v>120</v>
      </c>
      <c r="J67" t="s">
        <v>41</v>
      </c>
    </row>
    <row r="68" spans="1:10" x14ac:dyDescent="0.25">
      <c r="A68">
        <v>66</v>
      </c>
      <c r="B68" s="5" t="s">
        <v>300</v>
      </c>
      <c r="C68" t="s">
        <v>301</v>
      </c>
      <c r="D68" t="s">
        <v>302</v>
      </c>
      <c r="E68" t="s">
        <v>37</v>
      </c>
      <c r="F68" s="5" t="s">
        <v>303</v>
      </c>
      <c r="G68" t="s">
        <v>46</v>
      </c>
      <c r="H68" t="s">
        <v>47</v>
      </c>
      <c r="I68">
        <v>192</v>
      </c>
      <c r="J68" t="s">
        <v>41</v>
      </c>
    </row>
    <row r="69" spans="1:10" x14ac:dyDescent="0.25">
      <c r="A69">
        <v>67</v>
      </c>
      <c r="B69" s="5" t="s">
        <v>304</v>
      </c>
      <c r="C69" t="s">
        <v>305</v>
      </c>
      <c r="D69" t="s">
        <v>306</v>
      </c>
      <c r="E69" t="s">
        <v>37</v>
      </c>
      <c r="F69" s="5" t="s">
        <v>307</v>
      </c>
      <c r="G69" t="s">
        <v>39</v>
      </c>
      <c r="H69" t="s">
        <v>40</v>
      </c>
      <c r="I69">
        <v>120</v>
      </c>
      <c r="J69" t="s">
        <v>41</v>
      </c>
    </row>
    <row r="70" spans="1:10" x14ac:dyDescent="0.25">
      <c r="A70">
        <v>68</v>
      </c>
      <c r="B70" s="5" t="s">
        <v>308</v>
      </c>
      <c r="C70" t="s">
        <v>309</v>
      </c>
      <c r="D70" t="s">
        <v>310</v>
      </c>
      <c r="E70" t="s">
        <v>37</v>
      </c>
      <c r="F70" s="5" t="s">
        <v>311</v>
      </c>
      <c r="G70" t="s">
        <v>39</v>
      </c>
      <c r="H70" t="s">
        <v>40</v>
      </c>
      <c r="I70">
        <v>120</v>
      </c>
      <c r="J70" t="s">
        <v>41</v>
      </c>
    </row>
    <row r="71" spans="1:10" x14ac:dyDescent="0.25">
      <c r="A71">
        <v>69</v>
      </c>
      <c r="B71" s="5" t="s">
        <v>312</v>
      </c>
      <c r="C71" t="s">
        <v>313</v>
      </c>
      <c r="D71" t="s">
        <v>314</v>
      </c>
      <c r="E71" t="s">
        <v>37</v>
      </c>
      <c r="F71" s="5" t="s">
        <v>315</v>
      </c>
      <c r="G71" t="s">
        <v>46</v>
      </c>
      <c r="H71" t="s">
        <v>47</v>
      </c>
      <c r="I71">
        <v>180</v>
      </c>
      <c r="J71" t="s">
        <v>41</v>
      </c>
    </row>
    <row r="72" spans="1:10" x14ac:dyDescent="0.25">
      <c r="A72">
        <v>70</v>
      </c>
      <c r="B72" s="5" t="s">
        <v>316</v>
      </c>
      <c r="C72" t="s">
        <v>317</v>
      </c>
      <c r="D72" t="s">
        <v>318</v>
      </c>
      <c r="E72" t="s">
        <v>37</v>
      </c>
      <c r="F72" s="5" t="s">
        <v>319</v>
      </c>
      <c r="G72" t="s">
        <v>46</v>
      </c>
      <c r="H72" t="s">
        <v>47</v>
      </c>
      <c r="I72">
        <v>180</v>
      </c>
      <c r="J72" t="s">
        <v>41</v>
      </c>
    </row>
    <row r="73" spans="1:10" x14ac:dyDescent="0.25">
      <c r="A73">
        <v>71</v>
      </c>
      <c r="B73" s="5" t="s">
        <v>320</v>
      </c>
      <c r="C73" t="s">
        <v>321</v>
      </c>
      <c r="D73" t="s">
        <v>322</v>
      </c>
      <c r="E73" t="s">
        <v>37</v>
      </c>
      <c r="F73" s="5" t="s">
        <v>323</v>
      </c>
      <c r="G73" t="s">
        <v>46</v>
      </c>
      <c r="H73" t="s">
        <v>47</v>
      </c>
      <c r="I73">
        <v>180</v>
      </c>
      <c r="J73" t="s">
        <v>41</v>
      </c>
    </row>
    <row r="74" spans="1:10" x14ac:dyDescent="0.25">
      <c r="A74">
        <v>72</v>
      </c>
      <c r="B74" s="5" t="s">
        <v>324</v>
      </c>
      <c r="C74" t="s">
        <v>325</v>
      </c>
      <c r="D74" t="s">
        <v>326</v>
      </c>
      <c r="E74" t="s">
        <v>37</v>
      </c>
      <c r="F74" s="5" t="s">
        <v>327</v>
      </c>
      <c r="G74" t="s">
        <v>46</v>
      </c>
      <c r="H74" t="s">
        <v>47</v>
      </c>
      <c r="I74">
        <v>180</v>
      </c>
      <c r="J74" t="s">
        <v>41</v>
      </c>
    </row>
    <row r="75" spans="1:10" x14ac:dyDescent="0.25">
      <c r="A75">
        <v>73</v>
      </c>
      <c r="B75" s="5" t="s">
        <v>328</v>
      </c>
      <c r="C75" t="s">
        <v>329</v>
      </c>
      <c r="D75" t="s">
        <v>330</v>
      </c>
      <c r="E75" t="s">
        <v>37</v>
      </c>
      <c r="F75" s="5" t="s">
        <v>331</v>
      </c>
      <c r="G75" t="s">
        <v>46</v>
      </c>
      <c r="H75" t="s">
        <v>47</v>
      </c>
      <c r="I75">
        <v>180</v>
      </c>
      <c r="J75" t="s">
        <v>41</v>
      </c>
    </row>
    <row r="76" spans="1:10" x14ac:dyDescent="0.25">
      <c r="A76">
        <v>74</v>
      </c>
      <c r="B76" s="5" t="s">
        <v>332</v>
      </c>
      <c r="C76" t="s">
        <v>333</v>
      </c>
      <c r="D76" t="s">
        <v>334</v>
      </c>
      <c r="E76" t="s">
        <v>37</v>
      </c>
      <c r="F76" s="5" t="s">
        <v>335</v>
      </c>
      <c r="G76" t="s">
        <v>39</v>
      </c>
      <c r="H76" t="s">
        <v>40</v>
      </c>
      <c r="I76">
        <v>120</v>
      </c>
      <c r="J76" t="s">
        <v>41</v>
      </c>
    </row>
    <row r="77" spans="1:10" x14ac:dyDescent="0.25">
      <c r="A77">
        <v>75</v>
      </c>
      <c r="B77" s="5" t="s">
        <v>336</v>
      </c>
      <c r="C77" t="s">
        <v>337</v>
      </c>
      <c r="D77" t="s">
        <v>338</v>
      </c>
      <c r="E77" t="s">
        <v>37</v>
      </c>
      <c r="F77" s="5" t="s">
        <v>339</v>
      </c>
      <c r="G77" t="s">
        <v>46</v>
      </c>
      <c r="H77" t="s">
        <v>47</v>
      </c>
      <c r="I77">
        <v>180</v>
      </c>
      <c r="J77" t="s">
        <v>41</v>
      </c>
    </row>
    <row r="78" spans="1:10" x14ac:dyDescent="0.25">
      <c r="A78">
        <v>76</v>
      </c>
      <c r="B78" s="5" t="s">
        <v>340</v>
      </c>
      <c r="C78" t="s">
        <v>341</v>
      </c>
      <c r="D78" t="s">
        <v>342</v>
      </c>
      <c r="E78" t="s">
        <v>37</v>
      </c>
      <c r="F78" s="5" t="s">
        <v>343</v>
      </c>
      <c r="G78" t="s">
        <v>46</v>
      </c>
      <c r="H78" t="s">
        <v>47</v>
      </c>
      <c r="I78">
        <v>180</v>
      </c>
      <c r="J78" t="s">
        <v>41</v>
      </c>
    </row>
    <row r="79" spans="1:10" x14ac:dyDescent="0.25">
      <c r="A79">
        <v>77</v>
      </c>
      <c r="B79" s="5" t="s">
        <v>344</v>
      </c>
      <c r="C79" t="s">
        <v>345</v>
      </c>
      <c r="D79" t="s">
        <v>346</v>
      </c>
      <c r="E79" t="s">
        <v>37</v>
      </c>
      <c r="F79" s="5" t="s">
        <v>347</v>
      </c>
      <c r="G79" t="s">
        <v>39</v>
      </c>
      <c r="H79" t="s">
        <v>40</v>
      </c>
      <c r="I79">
        <v>120</v>
      </c>
      <c r="J79" t="s">
        <v>41</v>
      </c>
    </row>
    <row r="80" spans="1:10" x14ac:dyDescent="0.25">
      <c r="A80">
        <v>78</v>
      </c>
      <c r="B80" s="5" t="s">
        <v>348</v>
      </c>
      <c r="C80" t="s">
        <v>349</v>
      </c>
      <c r="D80" t="s">
        <v>350</v>
      </c>
      <c r="E80" t="s">
        <v>37</v>
      </c>
      <c r="F80" s="5" t="s">
        <v>351</v>
      </c>
      <c r="G80" t="s">
        <v>46</v>
      </c>
      <c r="H80" t="s">
        <v>47</v>
      </c>
      <c r="I80">
        <v>192</v>
      </c>
      <c r="J80" t="s">
        <v>41</v>
      </c>
    </row>
    <row r="81" spans="1:10" x14ac:dyDescent="0.25">
      <c r="A81">
        <v>79</v>
      </c>
      <c r="B81" s="5" t="s">
        <v>352</v>
      </c>
      <c r="C81" t="s">
        <v>353</v>
      </c>
      <c r="D81" t="s">
        <v>354</v>
      </c>
      <c r="E81" t="s">
        <v>37</v>
      </c>
      <c r="F81" s="5" t="s">
        <v>355</v>
      </c>
      <c r="G81" t="s">
        <v>46</v>
      </c>
      <c r="H81" t="s">
        <v>47</v>
      </c>
      <c r="I81">
        <v>180</v>
      </c>
      <c r="J81" t="s">
        <v>41</v>
      </c>
    </row>
    <row r="82" spans="1:10" x14ac:dyDescent="0.25">
      <c r="A82">
        <v>80</v>
      </c>
      <c r="B82" s="5" t="s">
        <v>356</v>
      </c>
      <c r="C82" t="s">
        <v>357</v>
      </c>
      <c r="D82" t="s">
        <v>358</v>
      </c>
      <c r="E82" t="s">
        <v>37</v>
      </c>
      <c r="F82" s="5" t="s">
        <v>359</v>
      </c>
      <c r="G82" t="s">
        <v>39</v>
      </c>
      <c r="H82" t="s">
        <v>40</v>
      </c>
      <c r="I82">
        <v>120</v>
      </c>
      <c r="J82" t="s">
        <v>41</v>
      </c>
    </row>
    <row r="83" spans="1:10" x14ac:dyDescent="0.25">
      <c r="A83">
        <v>81</v>
      </c>
      <c r="B83" s="5" t="s">
        <v>360</v>
      </c>
      <c r="C83" t="s">
        <v>361</v>
      </c>
      <c r="D83" t="s">
        <v>362</v>
      </c>
      <c r="E83" t="s">
        <v>37</v>
      </c>
      <c r="F83" s="5" t="s">
        <v>363</v>
      </c>
      <c r="G83" t="s">
        <v>39</v>
      </c>
      <c r="H83" t="s">
        <v>40</v>
      </c>
      <c r="I83">
        <v>120</v>
      </c>
      <c r="J83" t="s">
        <v>41</v>
      </c>
    </row>
    <row r="84" spans="1:10" x14ac:dyDescent="0.25">
      <c r="A84">
        <v>82</v>
      </c>
      <c r="B84" s="5" t="s">
        <v>364</v>
      </c>
      <c r="C84" t="s">
        <v>365</v>
      </c>
      <c r="D84" t="s">
        <v>366</v>
      </c>
      <c r="E84" t="s">
        <v>37</v>
      </c>
      <c r="F84" s="5" t="s">
        <v>367</v>
      </c>
      <c r="G84" t="s">
        <v>46</v>
      </c>
      <c r="H84" t="s">
        <v>47</v>
      </c>
      <c r="I84">
        <v>180</v>
      </c>
      <c r="J84" t="s">
        <v>41</v>
      </c>
    </row>
    <row r="85" spans="1:10" x14ac:dyDescent="0.25">
      <c r="A85">
        <v>83</v>
      </c>
      <c r="B85" s="5" t="s">
        <v>368</v>
      </c>
      <c r="C85" t="s">
        <v>369</v>
      </c>
      <c r="D85" t="s">
        <v>370</v>
      </c>
      <c r="E85" t="s">
        <v>37</v>
      </c>
      <c r="F85" s="5" t="s">
        <v>371</v>
      </c>
      <c r="G85" t="s">
        <v>46</v>
      </c>
      <c r="H85" t="s">
        <v>47</v>
      </c>
      <c r="I85">
        <v>180</v>
      </c>
      <c r="J85" t="s">
        <v>41</v>
      </c>
    </row>
    <row r="86" spans="1:10" x14ac:dyDescent="0.25">
      <c r="A86">
        <v>84</v>
      </c>
      <c r="B86" s="5" t="s">
        <v>372</v>
      </c>
      <c r="C86" t="s">
        <v>373</v>
      </c>
      <c r="D86" t="s">
        <v>374</v>
      </c>
      <c r="E86" t="s">
        <v>37</v>
      </c>
      <c r="F86" s="5" t="s">
        <v>375</v>
      </c>
      <c r="G86" t="s">
        <v>46</v>
      </c>
      <c r="H86" t="s">
        <v>47</v>
      </c>
      <c r="I86">
        <v>192</v>
      </c>
      <c r="J86" t="s">
        <v>41</v>
      </c>
    </row>
    <row r="87" spans="1:10" x14ac:dyDescent="0.25">
      <c r="A87">
        <v>85</v>
      </c>
      <c r="B87" s="5" t="s">
        <v>376</v>
      </c>
      <c r="C87" t="s">
        <v>377</v>
      </c>
      <c r="D87" t="s">
        <v>378</v>
      </c>
      <c r="E87" t="s">
        <v>37</v>
      </c>
      <c r="F87" s="5" t="s">
        <v>379</v>
      </c>
      <c r="G87" t="s">
        <v>39</v>
      </c>
      <c r="H87" t="s">
        <v>40</v>
      </c>
      <c r="I87">
        <v>120</v>
      </c>
      <c r="J87" t="s">
        <v>41</v>
      </c>
    </row>
    <row r="88" spans="1:10" x14ac:dyDescent="0.25">
      <c r="A88">
        <v>86</v>
      </c>
      <c r="B88" s="5" t="s">
        <v>380</v>
      </c>
      <c r="C88" t="s">
        <v>381</v>
      </c>
      <c r="D88" t="s">
        <v>382</v>
      </c>
      <c r="E88" t="s">
        <v>37</v>
      </c>
      <c r="F88" s="5" t="s">
        <v>383</v>
      </c>
      <c r="G88" t="s">
        <v>46</v>
      </c>
      <c r="H88" t="s">
        <v>47</v>
      </c>
      <c r="I88">
        <v>180</v>
      </c>
      <c r="J88" t="s">
        <v>41</v>
      </c>
    </row>
    <row r="89" spans="1:10" x14ac:dyDescent="0.25">
      <c r="A89">
        <v>87</v>
      </c>
      <c r="B89" s="5" t="s">
        <v>384</v>
      </c>
      <c r="C89" t="s">
        <v>385</v>
      </c>
      <c r="D89" t="s">
        <v>386</v>
      </c>
      <c r="E89" t="s">
        <v>37</v>
      </c>
      <c r="F89" s="5" t="s">
        <v>387</v>
      </c>
      <c r="G89" t="s">
        <v>46</v>
      </c>
      <c r="H89" t="s">
        <v>47</v>
      </c>
      <c r="I89">
        <v>180</v>
      </c>
      <c r="J89" t="s">
        <v>41</v>
      </c>
    </row>
    <row r="90" spans="1:10" x14ac:dyDescent="0.25">
      <c r="A90">
        <v>88</v>
      </c>
      <c r="B90" s="5" t="s">
        <v>388</v>
      </c>
      <c r="C90" t="s">
        <v>389</v>
      </c>
      <c r="D90" t="s">
        <v>390</v>
      </c>
      <c r="E90" t="s">
        <v>37</v>
      </c>
      <c r="F90" s="5" t="s">
        <v>391</v>
      </c>
      <c r="G90" t="s">
        <v>39</v>
      </c>
      <c r="H90" t="s">
        <v>40</v>
      </c>
      <c r="I90">
        <v>120</v>
      </c>
      <c r="J90" t="s">
        <v>41</v>
      </c>
    </row>
    <row r="91" spans="1:10" x14ac:dyDescent="0.25">
      <c r="A91">
        <v>89</v>
      </c>
      <c r="B91" s="5" t="s">
        <v>392</v>
      </c>
      <c r="C91" t="s">
        <v>393</v>
      </c>
      <c r="D91" t="s">
        <v>394</v>
      </c>
      <c r="E91" t="s">
        <v>37</v>
      </c>
      <c r="F91" s="5" t="s">
        <v>395</v>
      </c>
      <c r="G91" t="s">
        <v>46</v>
      </c>
      <c r="H91" t="s">
        <v>47</v>
      </c>
      <c r="I91">
        <v>180</v>
      </c>
      <c r="J91" t="s">
        <v>41</v>
      </c>
    </row>
    <row r="92" spans="1:10" x14ac:dyDescent="0.25">
      <c r="A92">
        <v>90</v>
      </c>
      <c r="B92" s="5" t="s">
        <v>396</v>
      </c>
      <c r="C92" t="s">
        <v>397</v>
      </c>
      <c r="D92" t="s">
        <v>398</v>
      </c>
      <c r="E92" t="s">
        <v>37</v>
      </c>
      <c r="F92" s="5" t="s">
        <v>399</v>
      </c>
      <c r="G92" t="s">
        <v>46</v>
      </c>
      <c r="H92" t="s">
        <v>47</v>
      </c>
      <c r="I92">
        <v>180</v>
      </c>
      <c r="J92" t="s">
        <v>41</v>
      </c>
    </row>
    <row r="93" spans="1:10" x14ac:dyDescent="0.25">
      <c r="A93">
        <v>91</v>
      </c>
      <c r="B93" s="5" t="s">
        <v>400</v>
      </c>
      <c r="C93" t="s">
        <v>401</v>
      </c>
      <c r="D93" t="s">
        <v>402</v>
      </c>
      <c r="E93" t="s">
        <v>37</v>
      </c>
      <c r="F93" s="5" t="s">
        <v>403</v>
      </c>
      <c r="G93" t="s">
        <v>39</v>
      </c>
      <c r="H93" t="s">
        <v>40</v>
      </c>
      <c r="I93">
        <v>120</v>
      </c>
      <c r="J93" t="s">
        <v>41</v>
      </c>
    </row>
    <row r="94" spans="1:10" x14ac:dyDescent="0.25">
      <c r="A94">
        <v>92</v>
      </c>
      <c r="B94" s="5" t="s">
        <v>404</v>
      </c>
      <c r="C94" t="s">
        <v>405</v>
      </c>
      <c r="D94" t="s">
        <v>406</v>
      </c>
      <c r="E94" t="s">
        <v>37</v>
      </c>
      <c r="F94" s="5" t="s">
        <v>407</v>
      </c>
      <c r="G94" t="s">
        <v>39</v>
      </c>
      <c r="H94" t="s">
        <v>40</v>
      </c>
      <c r="I94">
        <v>120</v>
      </c>
      <c r="J94" t="s">
        <v>41</v>
      </c>
    </row>
    <row r="95" spans="1:10" x14ac:dyDescent="0.25">
      <c r="A95">
        <v>93</v>
      </c>
      <c r="B95" s="5" t="s">
        <v>408</v>
      </c>
      <c r="C95" t="s">
        <v>409</v>
      </c>
      <c r="D95" t="s">
        <v>410</v>
      </c>
      <c r="E95" t="s">
        <v>37</v>
      </c>
      <c r="F95" s="5" t="s">
        <v>411</v>
      </c>
      <c r="G95" t="s">
        <v>46</v>
      </c>
      <c r="H95" t="s">
        <v>47</v>
      </c>
      <c r="I95">
        <v>192</v>
      </c>
      <c r="J95" t="s">
        <v>41</v>
      </c>
    </row>
    <row r="96" spans="1:10" x14ac:dyDescent="0.25">
      <c r="A96">
        <v>94</v>
      </c>
      <c r="B96" s="5" t="s">
        <v>412</v>
      </c>
      <c r="C96" t="s">
        <v>413</v>
      </c>
      <c r="D96" t="s">
        <v>414</v>
      </c>
      <c r="E96" t="s">
        <v>37</v>
      </c>
      <c r="F96" s="5" t="s">
        <v>415</v>
      </c>
      <c r="G96" t="s">
        <v>46</v>
      </c>
      <c r="H96" t="s">
        <v>47</v>
      </c>
      <c r="I96">
        <v>180</v>
      </c>
      <c r="J96" t="s">
        <v>41</v>
      </c>
    </row>
    <row r="97" spans="1:10" x14ac:dyDescent="0.25">
      <c r="A97">
        <v>95</v>
      </c>
      <c r="B97" s="5" t="s">
        <v>416</v>
      </c>
      <c r="C97" t="s">
        <v>417</v>
      </c>
      <c r="D97" t="s">
        <v>418</v>
      </c>
      <c r="E97" t="s">
        <v>37</v>
      </c>
      <c r="F97" s="5" t="s">
        <v>419</v>
      </c>
      <c r="G97" t="s">
        <v>46</v>
      </c>
      <c r="H97" t="s">
        <v>47</v>
      </c>
      <c r="I97">
        <v>180</v>
      </c>
      <c r="J97" t="s">
        <v>41</v>
      </c>
    </row>
    <row r="98" spans="1:10" x14ac:dyDescent="0.25">
      <c r="A98">
        <v>96</v>
      </c>
      <c r="B98" s="5" t="s">
        <v>420</v>
      </c>
      <c r="C98" t="s">
        <v>421</v>
      </c>
      <c r="D98" t="s">
        <v>422</v>
      </c>
      <c r="E98" t="s">
        <v>37</v>
      </c>
      <c r="F98" s="5" t="s">
        <v>423</v>
      </c>
      <c r="G98" t="s">
        <v>46</v>
      </c>
      <c r="H98" t="s">
        <v>47</v>
      </c>
      <c r="I98">
        <v>192</v>
      </c>
      <c r="J98" t="s">
        <v>41</v>
      </c>
    </row>
    <row r="99" spans="1:10" x14ac:dyDescent="0.25">
      <c r="A99">
        <v>97</v>
      </c>
      <c r="B99" s="5" t="s">
        <v>424</v>
      </c>
      <c r="C99" t="s">
        <v>425</v>
      </c>
      <c r="D99" t="s">
        <v>426</v>
      </c>
      <c r="E99" t="s">
        <v>37</v>
      </c>
      <c r="F99" s="5" t="s">
        <v>427</v>
      </c>
      <c r="G99" t="s">
        <v>46</v>
      </c>
      <c r="H99" t="s">
        <v>47</v>
      </c>
      <c r="I99">
        <v>180</v>
      </c>
      <c r="J99" t="s">
        <v>41</v>
      </c>
    </row>
    <row r="100" spans="1:10" x14ac:dyDescent="0.25">
      <c r="A100">
        <v>98</v>
      </c>
      <c r="B100" s="5" t="s">
        <v>428</v>
      </c>
      <c r="C100" t="s">
        <v>429</v>
      </c>
      <c r="D100" t="s">
        <v>430</v>
      </c>
      <c r="E100" t="s">
        <v>37</v>
      </c>
      <c r="F100" s="5" t="s">
        <v>431</v>
      </c>
      <c r="G100" t="s">
        <v>46</v>
      </c>
      <c r="H100" t="s">
        <v>47</v>
      </c>
      <c r="I100">
        <v>192</v>
      </c>
      <c r="J100" t="s">
        <v>41</v>
      </c>
    </row>
    <row r="101" spans="1:10" x14ac:dyDescent="0.25">
      <c r="A101">
        <v>99</v>
      </c>
      <c r="B101" s="5" t="s">
        <v>432</v>
      </c>
      <c r="C101" t="s">
        <v>433</v>
      </c>
      <c r="D101" t="s">
        <v>434</v>
      </c>
      <c r="E101" t="s">
        <v>37</v>
      </c>
      <c r="F101" s="5" t="s">
        <v>435</v>
      </c>
      <c r="G101" t="s">
        <v>46</v>
      </c>
      <c r="H101" t="s">
        <v>47</v>
      </c>
      <c r="I101">
        <v>192</v>
      </c>
      <c r="J101" t="s">
        <v>41</v>
      </c>
    </row>
    <row r="102" spans="1:10" x14ac:dyDescent="0.25">
      <c r="A102">
        <v>100</v>
      </c>
      <c r="B102" s="5" t="s">
        <v>436</v>
      </c>
      <c r="C102" t="s">
        <v>437</v>
      </c>
      <c r="D102" t="s">
        <v>438</v>
      </c>
      <c r="E102" t="s">
        <v>37</v>
      </c>
      <c r="F102" s="5" t="s">
        <v>439</v>
      </c>
      <c r="G102" t="s">
        <v>46</v>
      </c>
      <c r="H102" t="s">
        <v>47</v>
      </c>
      <c r="I102">
        <v>180</v>
      </c>
      <c r="J102" t="s">
        <v>41</v>
      </c>
    </row>
    <row r="103" spans="1:10" x14ac:dyDescent="0.25">
      <c r="A103">
        <v>101</v>
      </c>
      <c r="B103" s="5" t="s">
        <v>440</v>
      </c>
      <c r="C103" t="s">
        <v>441</v>
      </c>
      <c r="D103" t="s">
        <v>442</v>
      </c>
      <c r="E103" t="s">
        <v>37</v>
      </c>
      <c r="F103" s="5" t="s">
        <v>443</v>
      </c>
      <c r="G103" t="s">
        <v>46</v>
      </c>
      <c r="H103" t="s">
        <v>47</v>
      </c>
      <c r="I103">
        <v>192</v>
      </c>
      <c r="J103" t="s">
        <v>41</v>
      </c>
    </row>
    <row r="104" spans="1:10" x14ac:dyDescent="0.25">
      <c r="A104">
        <v>102</v>
      </c>
      <c r="B104" s="5" t="s">
        <v>444</v>
      </c>
      <c r="C104" t="s">
        <v>445</v>
      </c>
      <c r="D104" t="s">
        <v>446</v>
      </c>
      <c r="E104" t="s">
        <v>37</v>
      </c>
      <c r="F104" s="5" t="s">
        <v>447</v>
      </c>
      <c r="G104" t="s">
        <v>39</v>
      </c>
      <c r="H104" t="s">
        <v>40</v>
      </c>
      <c r="I104">
        <v>120</v>
      </c>
      <c r="J104" t="s">
        <v>41</v>
      </c>
    </row>
    <row r="105" spans="1:10" x14ac:dyDescent="0.25">
      <c r="A105">
        <v>103</v>
      </c>
      <c r="B105" s="5" t="s">
        <v>448</v>
      </c>
      <c r="C105" t="s">
        <v>449</v>
      </c>
      <c r="D105" t="s">
        <v>450</v>
      </c>
      <c r="E105" t="s">
        <v>37</v>
      </c>
      <c r="F105" s="5" t="s">
        <v>451</v>
      </c>
      <c r="G105" t="s">
        <v>39</v>
      </c>
      <c r="H105" t="s">
        <v>40</v>
      </c>
      <c r="I105">
        <v>120</v>
      </c>
      <c r="J105" t="s">
        <v>41</v>
      </c>
    </row>
    <row r="106" spans="1:10" x14ac:dyDescent="0.25">
      <c r="A106">
        <v>104</v>
      </c>
      <c r="B106" s="5" t="s">
        <v>452</v>
      </c>
      <c r="C106" t="s">
        <v>453</v>
      </c>
      <c r="D106" t="s">
        <v>454</v>
      </c>
      <c r="E106" t="s">
        <v>37</v>
      </c>
      <c r="F106" s="5" t="s">
        <v>455</v>
      </c>
      <c r="G106" t="s">
        <v>46</v>
      </c>
      <c r="H106" t="s">
        <v>47</v>
      </c>
      <c r="I106">
        <v>180</v>
      </c>
      <c r="J106" t="s">
        <v>41</v>
      </c>
    </row>
    <row r="107" spans="1:10" x14ac:dyDescent="0.25">
      <c r="A107">
        <v>105</v>
      </c>
      <c r="B107" s="5" t="s">
        <v>456</v>
      </c>
      <c r="C107" t="s">
        <v>457</v>
      </c>
      <c r="D107" t="s">
        <v>458</v>
      </c>
      <c r="E107" t="s">
        <v>37</v>
      </c>
      <c r="F107" s="5" t="s">
        <v>459</v>
      </c>
      <c r="G107" t="s">
        <v>46</v>
      </c>
      <c r="H107" t="s">
        <v>47</v>
      </c>
      <c r="I107">
        <v>180</v>
      </c>
      <c r="J107" t="s">
        <v>41</v>
      </c>
    </row>
    <row r="108" spans="1:10" x14ac:dyDescent="0.25">
      <c r="A108">
        <v>106</v>
      </c>
      <c r="B108" s="5" t="s">
        <v>460</v>
      </c>
      <c r="C108" t="s">
        <v>461</v>
      </c>
      <c r="D108" t="s">
        <v>462</v>
      </c>
      <c r="E108" t="s">
        <v>37</v>
      </c>
      <c r="F108" s="5" t="s">
        <v>463</v>
      </c>
      <c r="G108" t="s">
        <v>46</v>
      </c>
      <c r="H108" t="s">
        <v>47</v>
      </c>
      <c r="I108">
        <v>180</v>
      </c>
      <c r="J108" t="s">
        <v>41</v>
      </c>
    </row>
    <row r="109" spans="1:10" x14ac:dyDescent="0.25">
      <c r="A109">
        <v>107</v>
      </c>
      <c r="B109" s="5" t="s">
        <v>464</v>
      </c>
      <c r="C109" t="s">
        <v>465</v>
      </c>
      <c r="D109" t="s">
        <v>466</v>
      </c>
      <c r="E109" t="s">
        <v>37</v>
      </c>
      <c r="F109" s="5" t="s">
        <v>467</v>
      </c>
      <c r="G109" t="s">
        <v>46</v>
      </c>
      <c r="H109" t="s">
        <v>47</v>
      </c>
      <c r="I109">
        <v>180</v>
      </c>
      <c r="J109" t="s">
        <v>41</v>
      </c>
    </row>
    <row r="110" spans="1:10" x14ac:dyDescent="0.25">
      <c r="A110">
        <v>108</v>
      </c>
      <c r="B110" s="5" t="s">
        <v>468</v>
      </c>
      <c r="C110" t="s">
        <v>469</v>
      </c>
      <c r="D110" t="s">
        <v>470</v>
      </c>
      <c r="E110" t="s">
        <v>37</v>
      </c>
      <c r="F110" s="5" t="s">
        <v>471</v>
      </c>
      <c r="G110" t="s">
        <v>46</v>
      </c>
      <c r="H110" t="s">
        <v>47</v>
      </c>
      <c r="I110">
        <v>192</v>
      </c>
      <c r="J110" t="s">
        <v>41</v>
      </c>
    </row>
    <row r="111" spans="1:10" x14ac:dyDescent="0.25">
      <c r="A111">
        <v>109</v>
      </c>
      <c r="B111" s="5" t="s">
        <v>472</v>
      </c>
      <c r="C111" t="s">
        <v>473</v>
      </c>
      <c r="D111" t="s">
        <v>474</v>
      </c>
      <c r="E111" t="s">
        <v>37</v>
      </c>
      <c r="F111" s="5" t="s">
        <v>475</v>
      </c>
      <c r="G111" t="s">
        <v>46</v>
      </c>
      <c r="H111" t="s">
        <v>47</v>
      </c>
      <c r="I111">
        <v>180</v>
      </c>
      <c r="J111" t="s">
        <v>41</v>
      </c>
    </row>
    <row r="112" spans="1:10" x14ac:dyDescent="0.25">
      <c r="A112">
        <v>110</v>
      </c>
      <c r="B112" s="5" t="s">
        <v>476</v>
      </c>
      <c r="C112" t="s">
        <v>477</v>
      </c>
      <c r="D112" t="s">
        <v>478</v>
      </c>
      <c r="E112" t="s">
        <v>37</v>
      </c>
      <c r="F112" s="5" t="s">
        <v>479</v>
      </c>
      <c r="G112" t="s">
        <v>46</v>
      </c>
      <c r="H112" t="s">
        <v>47</v>
      </c>
      <c r="I112">
        <v>180</v>
      </c>
      <c r="J112" t="s">
        <v>41</v>
      </c>
    </row>
    <row r="113" spans="1:10" x14ac:dyDescent="0.25">
      <c r="A113">
        <v>111</v>
      </c>
      <c r="B113" s="5" t="s">
        <v>480</v>
      </c>
      <c r="C113" t="s">
        <v>481</v>
      </c>
      <c r="D113" t="s">
        <v>482</v>
      </c>
      <c r="E113" t="s">
        <v>37</v>
      </c>
      <c r="F113" s="5" t="s">
        <v>483</v>
      </c>
      <c r="G113" t="s">
        <v>46</v>
      </c>
      <c r="H113" t="s">
        <v>47</v>
      </c>
      <c r="I113">
        <v>180</v>
      </c>
      <c r="J113" t="s">
        <v>41</v>
      </c>
    </row>
    <row r="114" spans="1:10" x14ac:dyDescent="0.25">
      <c r="A114">
        <v>112</v>
      </c>
      <c r="B114" s="5" t="s">
        <v>484</v>
      </c>
      <c r="C114" t="s">
        <v>485</v>
      </c>
      <c r="D114" t="s">
        <v>486</v>
      </c>
      <c r="E114" t="s">
        <v>37</v>
      </c>
      <c r="F114" s="5" t="s">
        <v>487</v>
      </c>
      <c r="G114" t="s">
        <v>39</v>
      </c>
      <c r="H114" t="s">
        <v>40</v>
      </c>
      <c r="I114">
        <v>120</v>
      </c>
      <c r="J114" t="s">
        <v>41</v>
      </c>
    </row>
    <row r="115" spans="1:10" x14ac:dyDescent="0.25">
      <c r="A115">
        <v>113</v>
      </c>
      <c r="B115" s="5" t="s">
        <v>488</v>
      </c>
      <c r="C115" t="s">
        <v>489</v>
      </c>
      <c r="D115" t="s">
        <v>490</v>
      </c>
      <c r="E115" t="s">
        <v>37</v>
      </c>
      <c r="F115" s="5" t="s">
        <v>491</v>
      </c>
      <c r="G115" t="s">
        <v>39</v>
      </c>
      <c r="H115" t="s">
        <v>40</v>
      </c>
      <c r="I115">
        <v>120</v>
      </c>
      <c r="J115" t="s">
        <v>41</v>
      </c>
    </row>
    <row r="116" spans="1:10" x14ac:dyDescent="0.25">
      <c r="A116">
        <v>114</v>
      </c>
      <c r="B116" s="5" t="s">
        <v>492</v>
      </c>
      <c r="C116" t="s">
        <v>493</v>
      </c>
      <c r="D116" t="s">
        <v>494</v>
      </c>
      <c r="E116" t="s">
        <v>37</v>
      </c>
      <c r="F116" s="5" t="s">
        <v>495</v>
      </c>
      <c r="G116" t="s">
        <v>39</v>
      </c>
      <c r="H116" t="s">
        <v>40</v>
      </c>
      <c r="I116">
        <v>120</v>
      </c>
      <c r="J116" t="s">
        <v>41</v>
      </c>
    </row>
    <row r="117" spans="1:10" x14ac:dyDescent="0.25">
      <c r="A117">
        <v>115</v>
      </c>
      <c r="B117" s="5" t="s">
        <v>496</v>
      </c>
      <c r="C117" t="s">
        <v>497</v>
      </c>
      <c r="D117" t="s">
        <v>498</v>
      </c>
      <c r="E117" t="s">
        <v>37</v>
      </c>
      <c r="F117" s="5" t="s">
        <v>499</v>
      </c>
      <c r="G117" t="s">
        <v>46</v>
      </c>
      <c r="H117" t="s">
        <v>47</v>
      </c>
      <c r="I117">
        <v>192</v>
      </c>
      <c r="J117" t="s">
        <v>41</v>
      </c>
    </row>
    <row r="118" spans="1:10" x14ac:dyDescent="0.25">
      <c r="A118">
        <v>116</v>
      </c>
      <c r="B118" s="5" t="s">
        <v>500</v>
      </c>
      <c r="C118" t="s">
        <v>501</v>
      </c>
      <c r="D118" t="s">
        <v>502</v>
      </c>
      <c r="E118" t="s">
        <v>37</v>
      </c>
      <c r="F118" s="5" t="s">
        <v>503</v>
      </c>
      <c r="G118" t="s">
        <v>39</v>
      </c>
      <c r="H118" t="s">
        <v>40</v>
      </c>
      <c r="I118">
        <v>120</v>
      </c>
      <c r="J118" t="s">
        <v>41</v>
      </c>
    </row>
    <row r="119" spans="1:10" x14ac:dyDescent="0.25">
      <c r="A119">
        <v>117</v>
      </c>
      <c r="B119" s="5" t="s">
        <v>504</v>
      </c>
      <c r="C119" t="s">
        <v>505</v>
      </c>
      <c r="D119" t="s">
        <v>506</v>
      </c>
      <c r="E119" t="s">
        <v>37</v>
      </c>
      <c r="F119" s="5" t="s">
        <v>507</v>
      </c>
      <c r="G119" t="s">
        <v>46</v>
      </c>
      <c r="H119" t="s">
        <v>47</v>
      </c>
      <c r="I119">
        <v>192</v>
      </c>
      <c r="J119" t="s">
        <v>41</v>
      </c>
    </row>
    <row r="120" spans="1:10" x14ac:dyDescent="0.25">
      <c r="A120">
        <v>118</v>
      </c>
      <c r="B120" s="5" t="s">
        <v>508</v>
      </c>
      <c r="C120" t="s">
        <v>509</v>
      </c>
      <c r="D120" t="s">
        <v>510</v>
      </c>
      <c r="E120" t="s">
        <v>37</v>
      </c>
      <c r="F120" s="5" t="s">
        <v>511</v>
      </c>
      <c r="G120" t="s">
        <v>39</v>
      </c>
      <c r="H120" t="s">
        <v>40</v>
      </c>
      <c r="I120">
        <v>120</v>
      </c>
      <c r="J120" t="s">
        <v>41</v>
      </c>
    </row>
    <row r="121" spans="1:10" x14ac:dyDescent="0.25">
      <c r="A121">
        <v>119</v>
      </c>
      <c r="B121" s="5" t="s">
        <v>512</v>
      </c>
      <c r="C121" t="s">
        <v>513</v>
      </c>
      <c r="D121" t="s">
        <v>514</v>
      </c>
      <c r="E121" t="s">
        <v>37</v>
      </c>
      <c r="F121" s="5" t="s">
        <v>515</v>
      </c>
      <c r="G121" t="s">
        <v>46</v>
      </c>
      <c r="H121" t="s">
        <v>47</v>
      </c>
      <c r="I121">
        <v>180</v>
      </c>
      <c r="J121" t="s">
        <v>41</v>
      </c>
    </row>
    <row r="122" spans="1:10" x14ac:dyDescent="0.25">
      <c r="A122">
        <v>120</v>
      </c>
      <c r="B122" s="5" t="s">
        <v>516</v>
      </c>
      <c r="C122" t="s">
        <v>517</v>
      </c>
      <c r="D122" t="s">
        <v>518</v>
      </c>
      <c r="E122" t="s">
        <v>37</v>
      </c>
      <c r="F122" s="5" t="s">
        <v>519</v>
      </c>
      <c r="G122" t="s">
        <v>46</v>
      </c>
      <c r="H122" t="s">
        <v>47</v>
      </c>
      <c r="I122">
        <v>192</v>
      </c>
      <c r="J122" t="s">
        <v>41</v>
      </c>
    </row>
    <row r="123" spans="1:10" x14ac:dyDescent="0.25">
      <c r="A123">
        <v>121</v>
      </c>
      <c r="B123" s="5" t="s">
        <v>520</v>
      </c>
      <c r="C123" t="s">
        <v>521</v>
      </c>
      <c r="D123" t="s">
        <v>522</v>
      </c>
      <c r="E123" t="s">
        <v>37</v>
      </c>
      <c r="F123" s="5" t="s">
        <v>523</v>
      </c>
      <c r="G123" t="s">
        <v>46</v>
      </c>
      <c r="H123" t="s">
        <v>47</v>
      </c>
      <c r="I123">
        <v>180</v>
      </c>
      <c r="J123" t="s">
        <v>41</v>
      </c>
    </row>
    <row r="124" spans="1:10" x14ac:dyDescent="0.25">
      <c r="A124">
        <v>122</v>
      </c>
      <c r="B124" s="5" t="s">
        <v>524</v>
      </c>
      <c r="C124" t="s">
        <v>525</v>
      </c>
      <c r="D124" t="s">
        <v>526</v>
      </c>
      <c r="E124" t="s">
        <v>37</v>
      </c>
      <c r="F124" s="5" t="s">
        <v>527</v>
      </c>
      <c r="G124" t="s">
        <v>39</v>
      </c>
      <c r="H124" t="s">
        <v>40</v>
      </c>
      <c r="I124">
        <v>120</v>
      </c>
      <c r="J124" t="s">
        <v>41</v>
      </c>
    </row>
    <row r="125" spans="1:10" x14ac:dyDescent="0.25">
      <c r="A125">
        <v>123</v>
      </c>
      <c r="B125" s="5" t="s">
        <v>528</v>
      </c>
      <c r="C125" t="s">
        <v>529</v>
      </c>
      <c r="D125" t="s">
        <v>530</v>
      </c>
      <c r="E125" t="s">
        <v>37</v>
      </c>
      <c r="F125" s="5" t="s">
        <v>531</v>
      </c>
      <c r="G125" t="s">
        <v>39</v>
      </c>
      <c r="H125" t="s">
        <v>40</v>
      </c>
      <c r="I125">
        <v>120</v>
      </c>
      <c r="J125" t="s">
        <v>41</v>
      </c>
    </row>
    <row r="126" spans="1:10" x14ac:dyDescent="0.25">
      <c r="A126">
        <v>124</v>
      </c>
      <c r="B126" s="5" t="s">
        <v>532</v>
      </c>
      <c r="C126" t="s">
        <v>533</v>
      </c>
      <c r="D126" t="s">
        <v>534</v>
      </c>
      <c r="E126" t="s">
        <v>37</v>
      </c>
      <c r="F126" s="5" t="s">
        <v>535</v>
      </c>
      <c r="G126" t="s">
        <v>39</v>
      </c>
      <c r="H126" t="s">
        <v>40</v>
      </c>
      <c r="I126">
        <v>120</v>
      </c>
      <c r="J126" t="s">
        <v>41</v>
      </c>
    </row>
    <row r="127" spans="1:10" x14ac:dyDescent="0.25">
      <c r="A127">
        <v>125</v>
      </c>
      <c r="B127" s="5" t="s">
        <v>536</v>
      </c>
      <c r="C127" t="s">
        <v>537</v>
      </c>
      <c r="D127" t="s">
        <v>538</v>
      </c>
      <c r="E127" t="s">
        <v>37</v>
      </c>
      <c r="F127" s="5" t="s">
        <v>539</v>
      </c>
      <c r="G127" t="s">
        <v>46</v>
      </c>
      <c r="H127" t="s">
        <v>47</v>
      </c>
      <c r="I127">
        <v>192</v>
      </c>
      <c r="J127" t="s">
        <v>41</v>
      </c>
    </row>
    <row r="128" spans="1:10" x14ac:dyDescent="0.25">
      <c r="A128">
        <v>126</v>
      </c>
      <c r="B128" s="5" t="s">
        <v>540</v>
      </c>
      <c r="C128" t="s">
        <v>541</v>
      </c>
      <c r="D128" t="s">
        <v>542</v>
      </c>
      <c r="E128" t="s">
        <v>37</v>
      </c>
      <c r="F128" s="5" t="s">
        <v>543</v>
      </c>
      <c r="G128" t="s">
        <v>46</v>
      </c>
      <c r="H128" t="s">
        <v>47</v>
      </c>
      <c r="I128">
        <v>192</v>
      </c>
      <c r="J128" t="s">
        <v>41</v>
      </c>
    </row>
    <row r="129" spans="1:10" x14ac:dyDescent="0.25">
      <c r="A129">
        <v>127</v>
      </c>
      <c r="B129" s="5" t="s">
        <v>544</v>
      </c>
      <c r="C129" t="s">
        <v>545</v>
      </c>
      <c r="D129" t="s">
        <v>546</v>
      </c>
      <c r="E129" t="s">
        <v>37</v>
      </c>
      <c r="F129" s="5" t="s">
        <v>547</v>
      </c>
      <c r="G129" t="s">
        <v>46</v>
      </c>
      <c r="H129" t="s">
        <v>47</v>
      </c>
      <c r="I129">
        <v>180</v>
      </c>
      <c r="J129" t="s">
        <v>41</v>
      </c>
    </row>
    <row r="130" spans="1:10" x14ac:dyDescent="0.25">
      <c r="A130">
        <v>128</v>
      </c>
      <c r="B130" s="5" t="s">
        <v>548</v>
      </c>
      <c r="C130" t="s">
        <v>549</v>
      </c>
      <c r="D130" t="s">
        <v>550</v>
      </c>
      <c r="E130" t="s">
        <v>37</v>
      </c>
      <c r="F130" s="5" t="s">
        <v>551</v>
      </c>
      <c r="G130" t="s">
        <v>46</v>
      </c>
      <c r="H130" t="s">
        <v>47</v>
      </c>
      <c r="I130">
        <v>192</v>
      </c>
      <c r="J130" t="s">
        <v>41</v>
      </c>
    </row>
    <row r="131" spans="1:10" x14ac:dyDescent="0.25">
      <c r="A131">
        <v>129</v>
      </c>
      <c r="B131" s="5" t="s">
        <v>552</v>
      </c>
      <c r="C131" t="s">
        <v>553</v>
      </c>
      <c r="D131" t="s">
        <v>554</v>
      </c>
      <c r="E131" t="s">
        <v>37</v>
      </c>
      <c r="F131" s="5" t="s">
        <v>555</v>
      </c>
      <c r="G131" t="s">
        <v>46</v>
      </c>
      <c r="H131" t="s">
        <v>47</v>
      </c>
      <c r="I131">
        <v>180</v>
      </c>
      <c r="J131" t="s">
        <v>41</v>
      </c>
    </row>
    <row r="132" spans="1:10" x14ac:dyDescent="0.25">
      <c r="A132">
        <v>130</v>
      </c>
      <c r="B132" s="5" t="s">
        <v>556</v>
      </c>
      <c r="C132" t="s">
        <v>557</v>
      </c>
      <c r="D132" t="s">
        <v>558</v>
      </c>
      <c r="E132" t="s">
        <v>37</v>
      </c>
      <c r="F132" s="5" t="s">
        <v>559</v>
      </c>
      <c r="G132" t="s">
        <v>39</v>
      </c>
      <c r="H132" t="s">
        <v>40</v>
      </c>
      <c r="I132">
        <v>120</v>
      </c>
      <c r="J132" t="s">
        <v>41</v>
      </c>
    </row>
    <row r="133" spans="1:10" x14ac:dyDescent="0.25">
      <c r="A133">
        <v>131</v>
      </c>
      <c r="B133" s="5" t="s">
        <v>560</v>
      </c>
      <c r="C133" t="s">
        <v>561</v>
      </c>
      <c r="D133" t="s">
        <v>562</v>
      </c>
      <c r="E133" t="s">
        <v>37</v>
      </c>
      <c r="F133" s="5" t="s">
        <v>563</v>
      </c>
      <c r="G133" t="s">
        <v>46</v>
      </c>
      <c r="H133" t="s">
        <v>47</v>
      </c>
      <c r="I133">
        <v>192</v>
      </c>
      <c r="J133" t="s">
        <v>41</v>
      </c>
    </row>
    <row r="134" spans="1:10" x14ac:dyDescent="0.25">
      <c r="A134">
        <v>132</v>
      </c>
      <c r="B134" s="5" t="s">
        <v>564</v>
      </c>
      <c r="C134" t="s">
        <v>565</v>
      </c>
      <c r="D134" t="s">
        <v>566</v>
      </c>
      <c r="E134" t="s">
        <v>37</v>
      </c>
      <c r="F134" s="5" t="s">
        <v>567</v>
      </c>
      <c r="G134" t="s">
        <v>39</v>
      </c>
      <c r="H134" t="s">
        <v>40</v>
      </c>
      <c r="I134">
        <v>120</v>
      </c>
      <c r="J134" t="s">
        <v>41</v>
      </c>
    </row>
    <row r="135" spans="1:10" x14ac:dyDescent="0.25">
      <c r="A135">
        <v>133</v>
      </c>
      <c r="B135" s="5" t="s">
        <v>568</v>
      </c>
      <c r="C135" t="s">
        <v>569</v>
      </c>
      <c r="D135" t="s">
        <v>570</v>
      </c>
      <c r="E135" t="s">
        <v>37</v>
      </c>
      <c r="F135" s="5" t="s">
        <v>571</v>
      </c>
      <c r="G135" t="s">
        <v>46</v>
      </c>
      <c r="H135" t="s">
        <v>47</v>
      </c>
      <c r="I135">
        <v>180</v>
      </c>
      <c r="J135" t="s">
        <v>41</v>
      </c>
    </row>
    <row r="136" spans="1:10" x14ac:dyDescent="0.25">
      <c r="A136">
        <v>134</v>
      </c>
      <c r="B136" s="5" t="s">
        <v>572</v>
      </c>
      <c r="C136" t="s">
        <v>573</v>
      </c>
      <c r="D136" t="s">
        <v>574</v>
      </c>
      <c r="E136" t="s">
        <v>37</v>
      </c>
      <c r="F136" s="5" t="s">
        <v>575</v>
      </c>
      <c r="G136" t="s">
        <v>39</v>
      </c>
      <c r="H136" t="s">
        <v>40</v>
      </c>
      <c r="I136">
        <v>120</v>
      </c>
      <c r="J136" t="s">
        <v>41</v>
      </c>
    </row>
    <row r="137" spans="1:10" x14ac:dyDescent="0.25">
      <c r="A137">
        <v>135</v>
      </c>
      <c r="B137" s="5" t="s">
        <v>576</v>
      </c>
      <c r="C137" t="s">
        <v>577</v>
      </c>
      <c r="D137" t="s">
        <v>578</v>
      </c>
      <c r="E137" t="s">
        <v>37</v>
      </c>
      <c r="F137" s="5" t="s">
        <v>579</v>
      </c>
      <c r="G137" t="s">
        <v>46</v>
      </c>
      <c r="H137" t="s">
        <v>47</v>
      </c>
      <c r="I137">
        <v>180</v>
      </c>
      <c r="J137" t="s">
        <v>41</v>
      </c>
    </row>
    <row r="138" spans="1:10" x14ac:dyDescent="0.25">
      <c r="A138">
        <v>136</v>
      </c>
      <c r="B138" s="5" t="s">
        <v>580</v>
      </c>
      <c r="C138" t="s">
        <v>581</v>
      </c>
      <c r="D138" t="s">
        <v>582</v>
      </c>
      <c r="E138" t="s">
        <v>37</v>
      </c>
      <c r="F138" s="5" t="s">
        <v>583</v>
      </c>
      <c r="G138" t="s">
        <v>46</v>
      </c>
      <c r="H138" t="s">
        <v>47</v>
      </c>
      <c r="I138">
        <v>192</v>
      </c>
      <c r="J138" t="s">
        <v>41</v>
      </c>
    </row>
    <row r="139" spans="1:10" x14ac:dyDescent="0.25">
      <c r="A139">
        <v>137</v>
      </c>
      <c r="B139" s="5" t="s">
        <v>584</v>
      </c>
      <c r="C139" t="s">
        <v>585</v>
      </c>
      <c r="D139" t="s">
        <v>586</v>
      </c>
      <c r="E139" t="s">
        <v>37</v>
      </c>
      <c r="F139" s="5" t="s">
        <v>587</v>
      </c>
      <c r="G139" t="s">
        <v>46</v>
      </c>
      <c r="H139" t="s">
        <v>47</v>
      </c>
      <c r="I139">
        <v>192</v>
      </c>
      <c r="J139" t="s">
        <v>41</v>
      </c>
    </row>
    <row r="140" spans="7:8" x14ac:dyDescent="0.25"/>
    <row r="141" spans="7:8" x14ac:dyDescent="0.25"/>
    <row r="142" spans="7:8" x14ac:dyDescent="0.25"/>
    <row r="143" spans="7:8" x14ac:dyDescent="0.25"/>
    <row r="144" spans="7:8" x14ac:dyDescent="0.25"/>
    <row r="145" spans="7:8" x14ac:dyDescent="0.25"/>
    <row r="146" spans="7:8" x14ac:dyDescent="0.25"/>
    <row r="147" spans="7:8" x14ac:dyDescent="0.25"/>
    <row r="148" spans="7:8" x14ac:dyDescent="0.25"/>
    <row r="149" spans="7:8" x14ac:dyDescent="0.25"/>
    <row r="150" spans="7:8" x14ac:dyDescent="0.25"/>
    <row r="151" spans="7:8" x14ac:dyDescent="0.25"/>
    <row r="152" spans="7:8" x14ac:dyDescent="0.25"/>
    <row r="153" spans="7:8" x14ac:dyDescent="0.25"/>
    <row r="154" spans="7:8" x14ac:dyDescent="0.25"/>
    <row r="155" spans="7:8" x14ac:dyDescent="0.25"/>
    <row r="156" spans="7:8" x14ac:dyDescent="0.25"/>
    <row r="157" spans="7:8" x14ac:dyDescent="0.25"/>
    <row r="158" spans="7:8" x14ac:dyDescent="0.25"/>
    <row r="159" spans="7:8" x14ac:dyDescent="0.25"/>
    <row r="160" spans="7:8" x14ac:dyDescent="0.25"/>
    <row r="161" spans="7:8" x14ac:dyDescent="0.25"/>
    <row r="162" spans="7:8" x14ac:dyDescent="0.25"/>
    <row r="163" spans="7:8" x14ac:dyDescent="0.25"/>
    <row r="164" spans="7:8" x14ac:dyDescent="0.25"/>
    <row r="165" spans="7:8" x14ac:dyDescent="0.25"/>
    <row r="166" spans="7:8" x14ac:dyDescent="0.25"/>
    <row r="167" spans="7:8" x14ac:dyDescent="0.25"/>
    <row r="168" spans="7:8" x14ac:dyDescent="0.25"/>
    <row r="169" spans="7:8" x14ac:dyDescent="0.25"/>
    <row r="170" spans="7:8" x14ac:dyDescent="0.25"/>
    <row r="171" spans="7:8" x14ac:dyDescent="0.25"/>
    <row r="172" spans="7:8" x14ac:dyDescent="0.25"/>
    <row r="173" spans="7:8" x14ac:dyDescent="0.25"/>
    <row r="174" spans="7:8" x14ac:dyDescent="0.25"/>
    <row r="175" spans="7:8" x14ac:dyDescent="0.25"/>
    <row r="176" spans="7:8" x14ac:dyDescent="0.25"/>
    <row r="177" spans="7:8" x14ac:dyDescent="0.25"/>
    <row r="178" spans="7:8" x14ac:dyDescent="0.25"/>
    <row r="179" spans="7:8" x14ac:dyDescent="0.25"/>
    <row r="180" spans="7:8" x14ac:dyDescent="0.25"/>
    <row r="181" spans="7:8" x14ac:dyDescent="0.25"/>
    <row r="182" spans="7:8" x14ac:dyDescent="0.25"/>
    <row r="183" spans="7:8" x14ac:dyDescent="0.25"/>
    <row r="184" spans="7:8" x14ac:dyDescent="0.25"/>
    <row r="185" spans="7:8" x14ac:dyDescent="0.25"/>
    <row r="186" spans="7:8" x14ac:dyDescent="0.25"/>
    <row r="187" spans="7:8" x14ac:dyDescent="0.25"/>
    <row r="188" spans="7:8" x14ac:dyDescent="0.25"/>
    <row r="189" spans="7:8" x14ac:dyDescent="0.25"/>
    <row r="190" spans="7:8" x14ac:dyDescent="0.25"/>
    <row r="191" spans="7:8" x14ac:dyDescent="0.25"/>
    <row r="192" spans="7:8" x14ac:dyDescent="0.25"/>
    <row r="193" spans="7:8" x14ac:dyDescent="0.25"/>
    <row r="194" spans="7:8" x14ac:dyDescent="0.25"/>
    <row r="195" spans="7:8" x14ac:dyDescent="0.25"/>
    <row r="196" spans="7:8" x14ac:dyDescent="0.25"/>
    <row r="197" spans="7:8" x14ac:dyDescent="0.25"/>
    <row r="198" spans="7:8" x14ac:dyDescent="0.25"/>
    <row r="199" spans="7:8" x14ac:dyDescent="0.25"/>
    <row r="200" spans="7:8" x14ac:dyDescent="0.25"/>
  </sheetData>
  <mergeCells count="1">
    <mergeCell ref="A1:J1"/>
  </mergeCells>
  <dataValidations count="4">
    <dataValidation type="list" allowBlank="1" sqref="G10:G200">
      <formula1>"Prácticas Laborales I,Prácticas Laborales II,Prácticas de Servicio Comunitario"</formula1>
    </dataValidation>
    <dataValidation type="list" allowBlank="1" sqref="G3:G200">
      <formula1>"Prácticas Laborales I,Prácticas Laborales II,Prácticas de Servicio Comunitario"</formula1>
    </dataValidation>
    <dataValidation type="list" allowBlank="1" sqref="H10:H200">
      <formula1>"Séptimo Nivel,Octavo Nivel,Noveno Nivel"</formula1>
    </dataValidation>
    <dataValidation type="list" allowBlank="1" sqref="H3:H200">
      <formula1>"Séptimo Nivel,Octavo Nivel,Noveno Nivel"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42" customWidth="1"/>
    <col min="3" max="3" width="36" customWidth="1"/>
    <col min="4" max="4" width="38" customWidth="1"/>
    <col min="5" max="5" width="30" customWidth="1"/>
    <col min="6" max="6" width="13" customWidth="1"/>
  </cols>
  <sheetData>
    <row r="1" ht="26" customHeight="1" spans="1:6" x14ac:dyDescent="0.25">
      <c r="A1" s="1" t="s">
        <v>588</v>
      </c>
      <c r="B1" s="1"/>
      <c r="C1" s="1"/>
      <c r="D1" s="1"/>
      <c r="E1" s="1"/>
      <c r="F1" s="1"/>
    </row>
    <row r="2" ht="30" customHeight="1" spans="1:6" x14ac:dyDescent="0.25">
      <c r="A2" s="4" t="s">
        <v>24</v>
      </c>
      <c r="B2" s="4" t="s">
        <v>589</v>
      </c>
      <c r="C2" s="4" t="s">
        <v>590</v>
      </c>
      <c r="D2" s="4" t="s">
        <v>591</v>
      </c>
      <c r="E2" s="4" t="s">
        <v>592</v>
      </c>
      <c r="F2" s="4" t="s">
        <v>593</v>
      </c>
    </row>
    <row r="3" spans="1:6" x14ac:dyDescent="0.25">
      <c r="A3">
        <v>1</v>
      </c>
      <c r="B3" t="s">
        <v>594</v>
      </c>
      <c r="C3" t="s">
        <v>595</v>
      </c>
      <c r="D3" t="s">
        <v>596</v>
      </c>
      <c r="E3" t="s">
        <v>597</v>
      </c>
      <c r="F3" s="5" t="s">
        <v>598</v>
      </c>
    </row>
    <row r="4" spans="1:6" x14ac:dyDescent="0.25">
      <c r="A4">
        <v>2</v>
      </c>
      <c r="B4" t="s">
        <v>599</v>
      </c>
      <c r="C4" t="s">
        <v>600</v>
      </c>
      <c r="D4" t="s">
        <v>601</v>
      </c>
      <c r="E4" t="s">
        <v>602</v>
      </c>
      <c r="F4" s="5" t="s">
        <v>603</v>
      </c>
    </row>
    <row r="5" spans="1:6" x14ac:dyDescent="0.25">
      <c r="A5">
        <v>3</v>
      </c>
      <c r="B5" t="s">
        <v>604</v>
      </c>
      <c r="C5" t="s">
        <v>605</v>
      </c>
      <c r="D5" t="s">
        <v>606</v>
      </c>
      <c r="E5" t="s">
        <v>607</v>
      </c>
      <c r="F5" s="5" t="s">
        <v>608</v>
      </c>
    </row>
    <row r="6" spans="1:6" x14ac:dyDescent="0.25">
      <c r="A6">
        <v>4</v>
      </c>
      <c r="B6" t="s">
        <v>609</v>
      </c>
      <c r="C6" t="s">
        <v>610</v>
      </c>
      <c r="D6" t="s">
        <v>601</v>
      </c>
      <c r="E6" t="s">
        <v>611</v>
      </c>
      <c r="F6" s="5" t="s">
        <v>612</v>
      </c>
    </row>
    <row r="7" spans="1:6" x14ac:dyDescent="0.25">
      <c r="A7">
        <v>5</v>
      </c>
      <c r="B7" t="s">
        <v>613</v>
      </c>
      <c r="C7" t="s">
        <v>614</v>
      </c>
      <c r="D7" t="s">
        <v>615</v>
      </c>
      <c r="E7" t="s">
        <v>616</v>
      </c>
      <c r="F7" s="5" t="s">
        <v>617</v>
      </c>
    </row>
    <row r="8" spans="1:6" x14ac:dyDescent="0.25">
      <c r="A8">
        <v>6</v>
      </c>
      <c r="B8" t="s">
        <v>618</v>
      </c>
      <c r="C8" t="s">
        <v>619</v>
      </c>
      <c r="D8" t="s">
        <v>620</v>
      </c>
      <c r="E8" t="s">
        <v>621</v>
      </c>
      <c r="F8" s="5" t="s">
        <v>622</v>
      </c>
    </row>
    <row r="9" spans="1:6" x14ac:dyDescent="0.25">
      <c r="A9">
        <v>7</v>
      </c>
      <c r="B9" t="s">
        <v>623</v>
      </c>
      <c r="C9" t="s">
        <v>624</v>
      </c>
      <c r="D9" t="s">
        <v>625</v>
      </c>
      <c r="E9" t="s">
        <v>626</v>
      </c>
      <c r="F9" s="5" t="s">
        <v>627</v>
      </c>
    </row>
    <row r="10" spans="1:6" x14ac:dyDescent="0.25">
      <c r="A10">
        <v>8</v>
      </c>
      <c r="B10" t="s">
        <v>628</v>
      </c>
      <c r="C10" t="s">
        <v>629</v>
      </c>
      <c r="D10" t="s">
        <v>625</v>
      </c>
      <c r="E10" t="s">
        <v>630</v>
      </c>
      <c r="F10" s="5" t="s">
        <v>631</v>
      </c>
    </row>
    <row r="11" spans="1:6" x14ac:dyDescent="0.25">
      <c r="A11">
        <v>9</v>
      </c>
      <c r="B11" t="s">
        <v>632</v>
      </c>
      <c r="C11" t="s">
        <v>633</v>
      </c>
      <c r="D11" t="s">
        <v>625</v>
      </c>
      <c r="E11" t="s">
        <v>634</v>
      </c>
      <c r="F11" s="5" t="s">
        <v>635</v>
      </c>
    </row>
    <row r="12" spans="1:6" x14ac:dyDescent="0.25">
      <c r="A12">
        <v>10</v>
      </c>
      <c r="B12" t="s">
        <v>636</v>
      </c>
      <c r="C12" t="s">
        <v>637</v>
      </c>
      <c r="D12" t="s">
        <v>601</v>
      </c>
      <c r="E12" t="s">
        <v>638</v>
      </c>
      <c r="F12" s="5" t="s">
        <v>639</v>
      </c>
    </row>
    <row r="13" spans="1:6" x14ac:dyDescent="0.25">
      <c r="A13">
        <v>11</v>
      </c>
      <c r="B13" t="s">
        <v>640</v>
      </c>
      <c r="C13" t="s">
        <v>641</v>
      </c>
      <c r="D13" t="s">
        <v>620</v>
      </c>
      <c r="E13" t="s">
        <v>642</v>
      </c>
      <c r="F13" s="5" t="s">
        <v>643</v>
      </c>
    </row>
    <row r="14" spans="1:6" x14ac:dyDescent="0.25">
      <c r="A14">
        <v>12</v>
      </c>
      <c r="B14" t="s">
        <v>644</v>
      </c>
      <c r="C14" t="s">
        <v>645</v>
      </c>
      <c r="D14" t="s">
        <v>646</v>
      </c>
      <c r="E14" t="s">
        <v>647</v>
      </c>
      <c r="F14" s="5" t="s">
        <v>648</v>
      </c>
    </row>
    <row r="15" spans="1:6" x14ac:dyDescent="0.25">
      <c r="A15">
        <v>13</v>
      </c>
      <c r="B15" t="s">
        <v>649</v>
      </c>
      <c r="C15" t="s">
        <v>650</v>
      </c>
      <c r="D15" t="s">
        <v>651</v>
      </c>
      <c r="E15" t="s">
        <v>652</v>
      </c>
      <c r="F15" s="5" t="s">
        <v>653</v>
      </c>
    </row>
    <row r="16" spans="1:6" x14ac:dyDescent="0.25">
      <c r="A16">
        <v>14</v>
      </c>
      <c r="B16" t="s">
        <v>654</v>
      </c>
      <c r="C16" t="s">
        <v>655</v>
      </c>
      <c r="D16" t="s">
        <v>615</v>
      </c>
      <c r="E16" t="s">
        <v>656</v>
      </c>
      <c r="F16" s="5" t="s">
        <v>657</v>
      </c>
    </row>
    <row r="17" spans="1:6" x14ac:dyDescent="0.25">
      <c r="A17">
        <v>15</v>
      </c>
      <c r="B17" t="s">
        <v>658</v>
      </c>
      <c r="C17" t="s">
        <v>659</v>
      </c>
      <c r="D17" t="s">
        <v>660</v>
      </c>
      <c r="E17" t="s">
        <v>661</v>
      </c>
      <c r="F17" s="5" t="s">
        <v>662</v>
      </c>
    </row>
    <row r="18" spans="1:6" x14ac:dyDescent="0.25">
      <c r="A18">
        <v>16</v>
      </c>
      <c r="B18" t="s">
        <v>663</v>
      </c>
      <c r="C18" t="s">
        <v>664</v>
      </c>
      <c r="D18" t="s">
        <v>665</v>
      </c>
      <c r="E18" t="s">
        <v>666</v>
      </c>
      <c r="F18" s="5" t="s">
        <v>667</v>
      </c>
    </row>
    <row r="19" spans="1:6" x14ac:dyDescent="0.25">
      <c r="A19">
        <v>17</v>
      </c>
      <c r="B19" t="s">
        <v>668</v>
      </c>
      <c r="C19" t="s">
        <v>669</v>
      </c>
      <c r="D19" t="s">
        <v>670</v>
      </c>
      <c r="E19" t="s">
        <v>671</v>
      </c>
      <c r="F19" s="5" t="s">
        <v>672</v>
      </c>
    </row>
    <row r="20" spans="1:6" x14ac:dyDescent="0.25">
      <c r="A20">
        <v>18</v>
      </c>
      <c r="B20" t="s">
        <v>673</v>
      </c>
      <c r="C20" t="s">
        <v>674</v>
      </c>
      <c r="D20" t="s">
        <v>675</v>
      </c>
      <c r="E20" t="s">
        <v>676</v>
      </c>
      <c r="F20" s="5" t="s">
        <v>677</v>
      </c>
    </row>
    <row r="21" spans="1:6" x14ac:dyDescent="0.25">
      <c r="A21">
        <v>19</v>
      </c>
      <c r="B21" t="s">
        <v>678</v>
      </c>
      <c r="C21" t="s">
        <v>679</v>
      </c>
      <c r="D21" t="s">
        <v>680</v>
      </c>
      <c r="E21" t="s">
        <v>681</v>
      </c>
      <c r="F21" s="5" t="s">
        <v>682</v>
      </c>
    </row>
    <row r="22" spans="1:6" x14ac:dyDescent="0.25">
      <c r="A22">
        <v>20</v>
      </c>
      <c r="B22" t="s">
        <v>683</v>
      </c>
      <c r="C22" t="s">
        <v>633</v>
      </c>
      <c r="D22" t="s">
        <v>684</v>
      </c>
      <c r="E22" t="s">
        <v>634</v>
      </c>
      <c r="F22" s="5" t="s">
        <v>635</v>
      </c>
    </row>
    <row r="23" spans="1:6" x14ac:dyDescent="0.25">
      <c r="A23">
        <v>21</v>
      </c>
      <c r="B23" t="s">
        <v>685</v>
      </c>
      <c r="C23" t="s">
        <v>686</v>
      </c>
      <c r="D23" t="s">
        <v>687</v>
      </c>
      <c r="E23" t="s">
        <v>688</v>
      </c>
      <c r="F23" s="5" t="s">
        <v>689</v>
      </c>
    </row>
    <row r="24" spans="1:6" x14ac:dyDescent="0.25">
      <c r="A24">
        <v>22</v>
      </c>
      <c r="B24" t="s">
        <v>690</v>
      </c>
      <c r="C24" t="s">
        <v>637</v>
      </c>
      <c r="D24" t="s">
        <v>601</v>
      </c>
      <c r="E24" t="s">
        <v>638</v>
      </c>
      <c r="F24" s="5" t="s">
        <v>639</v>
      </c>
    </row>
    <row r="25" spans="1:6" x14ac:dyDescent="0.25">
      <c r="A25">
        <v>23</v>
      </c>
      <c r="B25" t="s">
        <v>691</v>
      </c>
      <c r="C25" t="s">
        <v>692</v>
      </c>
      <c r="D25" t="s">
        <v>693</v>
      </c>
      <c r="E25" t="s">
        <v>694</v>
      </c>
      <c r="F25" s="5" t="s">
        <v>695</v>
      </c>
    </row>
    <row r="26" spans="1:6" x14ac:dyDescent="0.25">
      <c r="A26">
        <v>24</v>
      </c>
      <c r="B26" t="s">
        <v>696</v>
      </c>
      <c r="C26" t="s">
        <v>600</v>
      </c>
      <c r="D26" t="s">
        <v>697</v>
      </c>
      <c r="E26" t="s">
        <v>698</v>
      </c>
      <c r="F26" s="5" t="s">
        <v>699</v>
      </c>
    </row>
    <row r="27" spans="1:6" x14ac:dyDescent="0.25">
      <c r="A27">
        <v>25</v>
      </c>
      <c r="B27" t="s">
        <v>700</v>
      </c>
      <c r="C27" t="s">
        <v>692</v>
      </c>
      <c r="D27" t="s">
        <v>693</v>
      </c>
      <c r="E27" t="s">
        <v>701</v>
      </c>
      <c r="F27" s="5" t="s">
        <v>702</v>
      </c>
    </row>
    <row r="28" spans="1:6" x14ac:dyDescent="0.25">
      <c r="A28">
        <v>26</v>
      </c>
      <c r="B28" t="s">
        <v>703</v>
      </c>
      <c r="C28" t="s">
        <v>704</v>
      </c>
      <c r="D28" t="s">
        <v>705</v>
      </c>
      <c r="E28" t="s">
        <v>706</v>
      </c>
      <c r="F28" s="5" t="s">
        <v>707</v>
      </c>
    </row>
    <row r="29" spans="1:6" x14ac:dyDescent="0.25">
      <c r="A29">
        <v>27</v>
      </c>
      <c r="B29" t="s">
        <v>708</v>
      </c>
      <c r="C29" t="s">
        <v>709</v>
      </c>
      <c r="D29" t="s">
        <v>710</v>
      </c>
      <c r="E29" t="s">
        <v>711</v>
      </c>
      <c r="F29" s="5" t="s">
        <v>712</v>
      </c>
    </row>
    <row r="30" spans="1:6" x14ac:dyDescent="0.25">
      <c r="A30">
        <v>28</v>
      </c>
      <c r="B30" t="s">
        <v>713</v>
      </c>
      <c r="C30" t="s">
        <v>714</v>
      </c>
      <c r="D30" t="s">
        <v>715</v>
      </c>
      <c r="E30" t="s">
        <v>716</v>
      </c>
      <c r="F30" s="5" t="s">
        <v>717</v>
      </c>
    </row>
    <row r="31" spans="1:6" x14ac:dyDescent="0.25">
      <c r="A31">
        <v>29</v>
      </c>
      <c r="B31" t="s">
        <v>718</v>
      </c>
      <c r="C31" t="s">
        <v>719</v>
      </c>
      <c r="D31" t="s">
        <v>720</v>
      </c>
      <c r="E31" t="s">
        <v>721</v>
      </c>
      <c r="F31" s="5" t="s">
        <v>722</v>
      </c>
    </row>
    <row r="32" spans="1:6" x14ac:dyDescent="0.25">
      <c r="A32">
        <v>30</v>
      </c>
      <c r="B32" t="s">
        <v>723</v>
      </c>
      <c r="C32" t="s">
        <v>724</v>
      </c>
      <c r="D32" t="s">
        <v>660</v>
      </c>
      <c r="E32" t="s">
        <v>725</v>
      </c>
      <c r="F32" s="5" t="s">
        <v>726</v>
      </c>
    </row>
    <row r="33" spans="1:6" x14ac:dyDescent="0.25">
      <c r="A33">
        <v>31</v>
      </c>
      <c r="B33" t="s">
        <v>727</v>
      </c>
      <c r="C33" t="s">
        <v>728</v>
      </c>
      <c r="D33" t="s">
        <v>729</v>
      </c>
      <c r="E33" t="s">
        <v>730</v>
      </c>
      <c r="F33" s="5" t="s">
        <v>731</v>
      </c>
    </row>
    <row r="34" spans="1:6" x14ac:dyDescent="0.25">
      <c r="A34">
        <v>32</v>
      </c>
      <c r="B34" t="s">
        <v>732</v>
      </c>
      <c r="C34" t="s">
        <v>655</v>
      </c>
      <c r="D34" t="s">
        <v>660</v>
      </c>
      <c r="E34" t="s">
        <v>733</v>
      </c>
      <c r="F34" s="5" t="s">
        <v>734</v>
      </c>
    </row>
    <row r="35" spans="1:6" x14ac:dyDescent="0.25">
      <c r="A35">
        <v>33</v>
      </c>
      <c r="B35" t="s">
        <v>735</v>
      </c>
      <c r="C35" t="s">
        <v>724</v>
      </c>
      <c r="D35" t="s">
        <v>736</v>
      </c>
      <c r="E35" t="s">
        <v>737</v>
      </c>
      <c r="F35" s="5" t="s">
        <v>738</v>
      </c>
    </row>
    <row r="36" spans="1:6" x14ac:dyDescent="0.25">
      <c r="A36">
        <v>34</v>
      </c>
      <c r="B36" t="s">
        <v>739</v>
      </c>
      <c r="C36" t="s">
        <v>740</v>
      </c>
      <c r="D36" t="s">
        <v>741</v>
      </c>
      <c r="E36" t="s">
        <v>742</v>
      </c>
      <c r="F36" s="5" t="s">
        <v>743</v>
      </c>
    </row>
    <row r="37" spans="1:6" x14ac:dyDescent="0.25">
      <c r="A37">
        <v>35</v>
      </c>
      <c r="B37" t="s">
        <v>744</v>
      </c>
      <c r="C37" t="s">
        <v>745</v>
      </c>
      <c r="D37" t="s">
        <v>746</v>
      </c>
      <c r="E37" t="s">
        <v>747</v>
      </c>
      <c r="F37" s="5" t="s">
        <v>748</v>
      </c>
    </row>
    <row r="38" spans="1:6" x14ac:dyDescent="0.25">
      <c r="A38">
        <v>36</v>
      </c>
      <c r="B38" t="s">
        <v>749</v>
      </c>
      <c r="C38" t="s">
        <v>750</v>
      </c>
      <c r="D38" t="s">
        <v>601</v>
      </c>
      <c r="E38" t="s">
        <v>751</v>
      </c>
      <c r="F38" s="5" t="s">
        <v>752</v>
      </c>
    </row>
    <row r="39" spans="1:6" x14ac:dyDescent="0.25">
      <c r="A39">
        <v>37</v>
      </c>
      <c r="B39" t="s">
        <v>753</v>
      </c>
      <c r="C39" t="s">
        <v>754</v>
      </c>
      <c r="D39" t="s">
        <v>693</v>
      </c>
      <c r="E39" t="s">
        <v>755</v>
      </c>
      <c r="F39" s="5" t="s">
        <v>756</v>
      </c>
    </row>
    <row r="40" spans="1:6" x14ac:dyDescent="0.25">
      <c r="A40">
        <v>38</v>
      </c>
      <c r="B40" t="s">
        <v>757</v>
      </c>
      <c r="C40" t="s">
        <v>758</v>
      </c>
      <c r="D40" t="s">
        <v>759</v>
      </c>
      <c r="E40" t="s">
        <v>760</v>
      </c>
      <c r="F40" s="5" t="s">
        <v>761</v>
      </c>
    </row>
    <row r="41" spans="1:6" x14ac:dyDescent="0.25">
      <c r="A41">
        <v>39</v>
      </c>
      <c r="B41" t="s">
        <v>762</v>
      </c>
      <c r="C41" t="s">
        <v>763</v>
      </c>
      <c r="D41" t="s">
        <v>620</v>
      </c>
      <c r="E41" t="s">
        <v>764</v>
      </c>
      <c r="F41" s="5" t="s">
        <v>765</v>
      </c>
    </row>
    <row r="42" spans="1:6" x14ac:dyDescent="0.25">
      <c r="A42">
        <v>40</v>
      </c>
      <c r="B42" t="s">
        <v>766</v>
      </c>
      <c r="C42" t="s">
        <v>714</v>
      </c>
      <c r="D42" t="s">
        <v>601</v>
      </c>
      <c r="E42" t="s">
        <v>767</v>
      </c>
      <c r="F42" s="5" t="s">
        <v>768</v>
      </c>
    </row>
    <row r="43" spans="1:6" x14ac:dyDescent="0.25">
      <c r="A43">
        <v>41</v>
      </c>
      <c r="B43" t="s">
        <v>769</v>
      </c>
      <c r="C43" t="s">
        <v>770</v>
      </c>
      <c r="D43" t="s">
        <v>715</v>
      </c>
      <c r="E43" t="s">
        <v>771</v>
      </c>
      <c r="F43" s="5" t="s">
        <v>772</v>
      </c>
    </row>
    <row r="44" spans="1:6" x14ac:dyDescent="0.25">
      <c r="A44">
        <v>42</v>
      </c>
      <c r="B44" t="s">
        <v>773</v>
      </c>
      <c r="C44" t="s">
        <v>774</v>
      </c>
      <c r="D44" t="s">
        <v>715</v>
      </c>
      <c r="E44" t="s">
        <v>775</v>
      </c>
      <c r="F44" s="5" t="s">
        <v>776</v>
      </c>
    </row>
    <row r="45" spans="1:6" x14ac:dyDescent="0.25">
      <c r="A45">
        <v>43</v>
      </c>
      <c r="B45" t="s">
        <v>777</v>
      </c>
      <c r="C45" t="s">
        <v>778</v>
      </c>
      <c r="D45" t="s">
        <v>779</v>
      </c>
      <c r="E45" t="s">
        <v>780</v>
      </c>
      <c r="F45" s="5" t="s">
        <v>781</v>
      </c>
    </row>
    <row r="46" spans="1:6" x14ac:dyDescent="0.25">
      <c r="A46">
        <v>44</v>
      </c>
      <c r="B46" t="s">
        <v>782</v>
      </c>
      <c r="C46" t="s">
        <v>614</v>
      </c>
      <c r="D46" t="s">
        <v>715</v>
      </c>
      <c r="E46" t="s">
        <v>783</v>
      </c>
      <c r="F46" s="5" t="s">
        <v>784</v>
      </c>
    </row>
    <row r="47" spans="1:6" x14ac:dyDescent="0.25">
      <c r="A47">
        <v>45</v>
      </c>
      <c r="B47" t="s">
        <v>785</v>
      </c>
      <c r="C47" t="s">
        <v>786</v>
      </c>
      <c r="D47" t="s">
        <v>601</v>
      </c>
      <c r="E47" t="s">
        <v>787</v>
      </c>
      <c r="F47" s="5" t="s">
        <v>788</v>
      </c>
    </row>
    <row r="48" spans="1:6" x14ac:dyDescent="0.25">
      <c r="A48">
        <v>46</v>
      </c>
      <c r="B48" t="s">
        <v>789</v>
      </c>
      <c r="C48" t="s">
        <v>790</v>
      </c>
      <c r="D48" t="s">
        <v>779</v>
      </c>
      <c r="E48" t="s">
        <v>791</v>
      </c>
      <c r="F48" s="5" t="s">
        <v>792</v>
      </c>
    </row>
    <row r="49" spans="1:6" x14ac:dyDescent="0.25">
      <c r="A49">
        <v>47</v>
      </c>
      <c r="B49" t="s">
        <v>793</v>
      </c>
      <c r="C49" t="s">
        <v>794</v>
      </c>
      <c r="D49" t="s">
        <v>795</v>
      </c>
      <c r="E49" t="s">
        <v>796</v>
      </c>
      <c r="F49" s="5" t="s">
        <v>797</v>
      </c>
    </row>
    <row r="50" spans="1:6" x14ac:dyDescent="0.25">
      <c r="A50">
        <v>48</v>
      </c>
      <c r="B50" t="s">
        <v>798</v>
      </c>
      <c r="C50" t="s">
        <v>754</v>
      </c>
      <c r="D50" t="s">
        <v>693</v>
      </c>
      <c r="E50" t="s">
        <v>799</v>
      </c>
      <c r="F50" s="5" t="s">
        <v>800</v>
      </c>
    </row>
    <row r="51" spans="1:6" x14ac:dyDescent="0.25">
      <c r="A51">
        <v>49</v>
      </c>
      <c r="B51" t="s">
        <v>801</v>
      </c>
      <c r="C51" t="s">
        <v>802</v>
      </c>
      <c r="D51" t="s">
        <v>615</v>
      </c>
      <c r="E51" t="s">
        <v>803</v>
      </c>
      <c r="F51" s="5" t="s">
        <v>804</v>
      </c>
    </row>
    <row r="52" spans="1:6" x14ac:dyDescent="0.25">
      <c r="A52">
        <v>50</v>
      </c>
      <c r="B52" t="s">
        <v>805</v>
      </c>
      <c r="C52" t="s">
        <v>790</v>
      </c>
      <c r="D52" t="s">
        <v>806</v>
      </c>
      <c r="E52" t="s">
        <v>807</v>
      </c>
      <c r="F52" s="5" t="s">
        <v>808</v>
      </c>
    </row>
    <row r="53" spans="1:6" x14ac:dyDescent="0.25">
      <c r="A53">
        <v>51</v>
      </c>
      <c r="B53" t="s">
        <v>809</v>
      </c>
      <c r="C53" t="s">
        <v>810</v>
      </c>
      <c r="D53" t="s">
        <v>806</v>
      </c>
      <c r="E53" t="s">
        <v>811</v>
      </c>
      <c r="F53" s="5" t="s">
        <v>812</v>
      </c>
    </row>
    <row r="54" spans="1:6" x14ac:dyDescent="0.25">
      <c r="A54">
        <v>52</v>
      </c>
      <c r="B54" t="s">
        <v>813</v>
      </c>
      <c r="C54" t="s">
        <v>669</v>
      </c>
      <c r="D54" t="s">
        <v>620</v>
      </c>
      <c r="E54" t="s">
        <v>814</v>
      </c>
      <c r="F54" s="5" t="s">
        <v>815</v>
      </c>
    </row>
    <row r="55" spans="1:6" x14ac:dyDescent="0.25">
      <c r="A55">
        <v>53</v>
      </c>
      <c r="B55" t="s">
        <v>816</v>
      </c>
      <c r="C55" t="s">
        <v>817</v>
      </c>
      <c r="D55" t="s">
        <v>818</v>
      </c>
      <c r="E55" t="s">
        <v>819</v>
      </c>
      <c r="F55" s="5" t="s">
        <v>820</v>
      </c>
    </row>
    <row r="56" spans="1:6" x14ac:dyDescent="0.25">
      <c r="A56">
        <v>54</v>
      </c>
      <c r="B56" t="s">
        <v>821</v>
      </c>
      <c r="C56" t="s">
        <v>822</v>
      </c>
      <c r="D56" t="s">
        <v>823</v>
      </c>
      <c r="E56" t="s">
        <v>824</v>
      </c>
      <c r="F56" s="5" t="s">
        <v>825</v>
      </c>
    </row>
    <row r="57" spans="1:6" x14ac:dyDescent="0.25">
      <c r="A57">
        <v>55</v>
      </c>
      <c r="B57" t="s">
        <v>826</v>
      </c>
      <c r="C57" t="s">
        <v>827</v>
      </c>
      <c r="D57" t="s">
        <v>697</v>
      </c>
      <c r="E57" t="s">
        <v>828</v>
      </c>
      <c r="F57" s="5" t="s">
        <v>829</v>
      </c>
    </row>
    <row r="58" spans="1:6" x14ac:dyDescent="0.25">
      <c r="A58">
        <v>56</v>
      </c>
      <c r="B58" t="s">
        <v>830</v>
      </c>
      <c r="C58" t="s">
        <v>619</v>
      </c>
      <c r="D58" t="s">
        <v>736</v>
      </c>
      <c r="E58" t="s">
        <v>831</v>
      </c>
      <c r="F58" s="5" t="s">
        <v>832</v>
      </c>
    </row>
    <row r="59" spans="1:6" x14ac:dyDescent="0.25">
      <c r="A59">
        <v>57</v>
      </c>
      <c r="B59" t="s">
        <v>833</v>
      </c>
      <c r="C59" t="s">
        <v>774</v>
      </c>
      <c r="D59" t="s">
        <v>736</v>
      </c>
      <c r="E59" t="s">
        <v>834</v>
      </c>
      <c r="F59" s="5" t="s">
        <v>835</v>
      </c>
    </row>
    <row r="60" spans="1:6" x14ac:dyDescent="0.25">
      <c r="A60">
        <v>58</v>
      </c>
      <c r="B60" t="s">
        <v>836</v>
      </c>
      <c r="C60" t="s">
        <v>837</v>
      </c>
      <c r="D60" t="s">
        <v>838</v>
      </c>
      <c r="E60" t="s">
        <v>839</v>
      </c>
      <c r="F60" s="5" t="s">
        <v>840</v>
      </c>
    </row>
    <row r="61" spans="1:6" x14ac:dyDescent="0.25">
      <c r="A61">
        <v>59</v>
      </c>
      <c r="B61" t="s">
        <v>841</v>
      </c>
      <c r="C61" t="s">
        <v>842</v>
      </c>
      <c r="D61" t="s">
        <v>843</v>
      </c>
      <c r="E61" t="s">
        <v>844</v>
      </c>
      <c r="F61" s="5" t="s">
        <v>845</v>
      </c>
    </row>
    <row r="62" spans="1:6" x14ac:dyDescent="0.25">
      <c r="A62">
        <v>60</v>
      </c>
      <c r="B62" t="s">
        <v>846</v>
      </c>
      <c r="C62" t="s">
        <v>847</v>
      </c>
      <c r="D62" t="s">
        <v>848</v>
      </c>
      <c r="E62" t="s">
        <v>849</v>
      </c>
      <c r="F62" s="5" t="s">
        <v>850</v>
      </c>
    </row>
    <row r="63" spans="1:6" x14ac:dyDescent="0.25">
      <c r="A63">
        <v>61</v>
      </c>
      <c r="B63" t="s">
        <v>851</v>
      </c>
      <c r="C63" t="s">
        <v>852</v>
      </c>
      <c r="D63" t="s">
        <v>736</v>
      </c>
      <c r="E63" t="s">
        <v>853</v>
      </c>
      <c r="F63" s="5" t="s">
        <v>854</v>
      </c>
    </row>
    <row r="64" spans="1:6" x14ac:dyDescent="0.25">
      <c r="A64">
        <v>62</v>
      </c>
      <c r="B64" t="s">
        <v>855</v>
      </c>
      <c r="C64" t="s">
        <v>856</v>
      </c>
      <c r="D64" t="s">
        <v>857</v>
      </c>
      <c r="E64" t="s">
        <v>858</v>
      </c>
      <c r="F64" s="5" t="s">
        <v>859</v>
      </c>
    </row>
    <row r="65" spans="1:6" x14ac:dyDescent="0.25">
      <c r="A65">
        <v>63</v>
      </c>
      <c r="B65" t="s">
        <v>860</v>
      </c>
      <c r="C65" t="s">
        <v>852</v>
      </c>
      <c r="D65" t="s">
        <v>736</v>
      </c>
      <c r="E65" t="s">
        <v>861</v>
      </c>
      <c r="F65" s="5" t="s">
        <v>862</v>
      </c>
    </row>
    <row r="66" spans="1:6" x14ac:dyDescent="0.25">
      <c r="A66">
        <v>64</v>
      </c>
      <c r="B66" t="s">
        <v>863</v>
      </c>
      <c r="C66" t="s">
        <v>864</v>
      </c>
      <c r="D66" t="s">
        <v>601</v>
      </c>
      <c r="E66" t="s">
        <v>865</v>
      </c>
      <c r="F66" s="5" t="s">
        <v>866</v>
      </c>
    </row>
    <row r="67" spans="1:6" x14ac:dyDescent="0.25">
      <c r="A67">
        <v>65</v>
      </c>
      <c r="B67" t="s">
        <v>867</v>
      </c>
      <c r="C67" t="s">
        <v>659</v>
      </c>
      <c r="D67" t="s">
        <v>620</v>
      </c>
      <c r="E67" t="s">
        <v>868</v>
      </c>
      <c r="F67" s="5" t="s">
        <v>869</v>
      </c>
    </row>
    <row r="68" spans="1:6" x14ac:dyDescent="0.25">
      <c r="A68">
        <v>66</v>
      </c>
      <c r="B68" t="s">
        <v>870</v>
      </c>
      <c r="C68" t="s">
        <v>871</v>
      </c>
      <c r="D68" t="s">
        <v>844</v>
      </c>
      <c r="E68" t="s">
        <v>872</v>
      </c>
      <c r="F68" s="5" t="s">
        <v>844</v>
      </c>
    </row>
    <row r="69" spans="1:6" x14ac:dyDescent="0.25">
      <c r="A69">
        <v>67</v>
      </c>
      <c r="B69" t="s">
        <v>873</v>
      </c>
      <c r="C69" t="s">
        <v>778</v>
      </c>
      <c r="D69" t="s">
        <v>736</v>
      </c>
      <c r="E69" t="s">
        <v>874</v>
      </c>
      <c r="F69" s="5" t="s">
        <v>875</v>
      </c>
    </row>
    <row r="70" spans="1:6" x14ac:dyDescent="0.25">
      <c r="A70">
        <v>68</v>
      </c>
      <c r="B70" t="s">
        <v>876</v>
      </c>
      <c r="C70" t="s">
        <v>641</v>
      </c>
      <c r="D70" t="s">
        <v>670</v>
      </c>
      <c r="E70" t="s">
        <v>877</v>
      </c>
      <c r="F70" s="5" t="s">
        <v>878</v>
      </c>
    </row>
    <row r="71" spans="1:6" x14ac:dyDescent="0.25">
      <c r="A71">
        <v>69</v>
      </c>
      <c r="B71" t="s">
        <v>879</v>
      </c>
      <c r="C71" t="s">
        <v>880</v>
      </c>
      <c r="D71" t="s">
        <v>881</v>
      </c>
      <c r="E71" t="s">
        <v>844</v>
      </c>
      <c r="F71" s="5" t="s">
        <v>882</v>
      </c>
    </row>
    <row r="72" spans="1:6" x14ac:dyDescent="0.25">
      <c r="A72">
        <v>70</v>
      </c>
      <c r="B72" t="s">
        <v>883</v>
      </c>
      <c r="C72" t="s">
        <v>884</v>
      </c>
      <c r="D72" t="s">
        <v>670</v>
      </c>
      <c r="E72" t="s">
        <v>877</v>
      </c>
      <c r="F72" s="5" t="s">
        <v>885</v>
      </c>
    </row>
    <row r="73" spans="1:6" x14ac:dyDescent="0.25">
      <c r="A73">
        <v>71</v>
      </c>
      <c r="B73" t="s">
        <v>886</v>
      </c>
      <c r="C73" t="s">
        <v>887</v>
      </c>
      <c r="D73" t="s">
        <v>601</v>
      </c>
      <c r="E73" t="s">
        <v>888</v>
      </c>
      <c r="F73" s="5" t="s">
        <v>889</v>
      </c>
    </row>
    <row r="74" spans="1:6" x14ac:dyDescent="0.25">
      <c r="A74">
        <v>72</v>
      </c>
      <c r="B74" t="s">
        <v>890</v>
      </c>
      <c r="C74" t="s">
        <v>891</v>
      </c>
      <c r="D74" t="s">
        <v>892</v>
      </c>
      <c r="E74" t="s">
        <v>893</v>
      </c>
      <c r="F74" s="5" t="s">
        <v>894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44" customWidth="1"/>
    <col min="3" max="3" width="22" customWidth="1"/>
  </cols>
  <sheetData>
    <row r="1" ht="26" customHeight="1" spans="1:3" x14ac:dyDescent="0.25">
      <c r="A1" s="1" t="s">
        <v>895</v>
      </c>
      <c r="B1" s="1"/>
      <c r="C1" s="1"/>
    </row>
    <row r="2" ht="30" customHeight="1" spans="1:3" x14ac:dyDescent="0.25">
      <c r="A2" s="4" t="s">
        <v>24</v>
      </c>
      <c r="B2" s="4" t="s">
        <v>896</v>
      </c>
      <c r="C2" s="6" t="s">
        <v>897</v>
      </c>
    </row>
    <row r="3" spans="1:3" x14ac:dyDescent="0.25">
      <c r="A3">
        <v>1</v>
      </c>
      <c r="B3" t="s">
        <v>898</v>
      </c>
      <c r="C3" s="7">
        <f>IF($B3="","",COUNTIF('📋 Prácticas'!$K$3:$K$200,$B3))</f>
      </c>
    </row>
    <row r="4" spans="1:3" x14ac:dyDescent="0.25">
      <c r="A4">
        <v>2</v>
      </c>
      <c r="B4" t="s">
        <v>899</v>
      </c>
      <c r="C4" s="7">
        <f>IF($B4="","",COUNTIF('📋 Prácticas'!$K$3:$K$200,$B4))</f>
      </c>
    </row>
    <row r="5" spans="1:3" x14ac:dyDescent="0.25">
      <c r="A5">
        <v>3</v>
      </c>
      <c r="B5" t="s">
        <v>900</v>
      </c>
      <c r="C5" s="7">
        <f>IF($B5="","",COUNTIF('📋 Prácticas'!$K$3:$K$200,$B5))</f>
      </c>
    </row>
    <row r="6" spans="1:3" x14ac:dyDescent="0.25">
      <c r="A6">
        <v>4</v>
      </c>
      <c r="B6" t="s">
        <v>901</v>
      </c>
      <c r="C6" s="7">
        <f>IF($B6="","",COUNTIF('📋 Prácticas'!$K$3:$K$200,$B6))</f>
      </c>
    </row>
    <row r="7" spans="1:3" x14ac:dyDescent="0.25">
      <c r="A7">
        <v>5</v>
      </c>
      <c r="B7" t="s">
        <v>902</v>
      </c>
      <c r="C7" s="7">
        <f>IF($B7="","",COUNTIF('📋 Prácticas'!$K$3:$K$200,$B7))</f>
      </c>
    </row>
    <row r="8" spans="1:3" x14ac:dyDescent="0.25">
      <c r="A8">
        <v>6</v>
      </c>
      <c r="B8" t="s">
        <v>903</v>
      </c>
      <c r="C8" s="7">
        <f>IF($B8="","",COUNTIF('📋 Prácticas'!$K$3:$K$200,$B8))</f>
      </c>
    </row>
    <row r="9" spans="1:3" x14ac:dyDescent="0.25">
      <c r="A9">
        <v>7</v>
      </c>
      <c r="B9" t="s">
        <v>904</v>
      </c>
      <c r="C9" s="7">
        <f>IF($B9="","",COUNTIF('📋 Prácticas'!$K$3:$K$200,$B9))</f>
      </c>
    </row>
    <row r="10" spans="1:3" x14ac:dyDescent="0.25">
      <c r="A10">
        <v>8</v>
      </c>
      <c r="B10" t="s">
        <v>905</v>
      </c>
      <c r="C10" s="7">
        <f>IF($B10="","",COUNTIF('📋 Prácticas'!$K$3:$K$200,$B10))</f>
      </c>
    </row>
    <row r="11" spans="1:3" x14ac:dyDescent="0.25">
      <c r="A11">
        <v>9</v>
      </c>
      <c r="B11" t="s">
        <v>906</v>
      </c>
      <c r="C11" s="7">
        <f>IF($B11="","",COUNTIF('📋 Prácticas'!$K$3:$K$200,$B11))</f>
      </c>
    </row>
    <row r="12" spans="1:3" x14ac:dyDescent="0.25">
      <c r="A12">
        <v>10</v>
      </c>
      <c r="B12" t="s">
        <v>907</v>
      </c>
      <c r="C12" s="7">
        <f>IF($B12="","",COUNTIF('📋 Prácticas'!$K$3:$K$200,$B12))</f>
      </c>
    </row>
    <row r="13" spans="1:3" x14ac:dyDescent="0.25">
      <c r="A13">
        <v>11</v>
      </c>
      <c r="B13" t="s">
        <v>908</v>
      </c>
      <c r="C13" s="7">
        <f>IF($B13="","",COUNTIF('📋 Prácticas'!$K$3:$K$200,$B13))</f>
      </c>
    </row>
    <row r="14" spans="1:3" x14ac:dyDescent="0.25">
      <c r="A14">
        <v>12</v>
      </c>
      <c r="B14" t="s">
        <v>909</v>
      </c>
      <c r="C14" s="7">
        <f>IF($B14="","",COUNTIF('📋 Prácticas'!$K$3:$K$200,$B14))</f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3" customWidth="1"/>
    <col min="3" max="3" width="36" customWidth="1"/>
    <col min="4" max="4" width="32" customWidth="1"/>
    <col min="5" max="5" width="24" customWidth="1"/>
    <col min="6" max="6" width="38" customWidth="1"/>
    <col min="7" max="7" width="32" customWidth="1"/>
    <col min="8" max="8" width="34" customWidth="1"/>
    <col min="9" max="9" width="28" customWidth="1"/>
    <col min="10" max="10" width="15" customWidth="1"/>
    <col min="11" max="11" width="38" customWidth="1"/>
    <col min="12" max="12" width="24" customWidth="1"/>
    <col min="13" max="13" width="15" customWidth="1"/>
    <col min="14" max="14" width="7" customWidth="1"/>
    <col min="15" max="15" width="10" customWidth="1"/>
    <col min="16" max="16" width="22" customWidth="1"/>
  </cols>
  <sheetData>
    <row r="1" ht="26" customHeight="1" spans="1:15" x14ac:dyDescent="0.25">
      <c r="A1" s="1" t="s">
        <v>910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0" customHeight="1" spans="1:16" x14ac:dyDescent="0.25">
      <c r="A2" s="4" t="s">
        <v>24</v>
      </c>
      <c r="B2" s="6" t="s">
        <v>25</v>
      </c>
      <c r="C2" s="4" t="s">
        <v>26</v>
      </c>
      <c r="D2" s="6" t="s">
        <v>27</v>
      </c>
      <c r="E2" s="6" t="s">
        <v>28</v>
      </c>
      <c r="F2" s="4" t="s">
        <v>911</v>
      </c>
      <c r="G2" s="6" t="s">
        <v>590</v>
      </c>
      <c r="H2" s="6" t="s">
        <v>591</v>
      </c>
      <c r="I2" s="6" t="s">
        <v>912</v>
      </c>
      <c r="J2" s="6" t="s">
        <v>913</v>
      </c>
      <c r="K2" s="4" t="s">
        <v>914</v>
      </c>
      <c r="L2" s="6" t="s">
        <v>30</v>
      </c>
      <c r="M2" s="6" t="s">
        <v>31</v>
      </c>
      <c r="N2" s="6" t="s">
        <v>32</v>
      </c>
      <c r="O2" s="6" t="s">
        <v>33</v>
      </c>
      <c r="P2" s="4" t="s">
        <v>915</v>
      </c>
    </row>
    <row r="3" spans="1:16" x14ac:dyDescent="0.25">
      <c r="A3">
        <f>IF($C3="","",ROW()-2)</f>
      </c>
      <c r="B3" s="8">
        <f>IFERROR(INDEX('👥 Estudiantes'!$B$3:$B$200,MATCH($C3,'👥 Estudiantes'!$C$3:$C$200,0)),"")</f>
      </c>
      <c r="C3" s="9" t="s">
        <v>35</v>
      </c>
      <c r="D3" s="10">
        <f>IFERROR(INDEX('👥 Estudiantes'!$D$3:$D$200,MATCH($C3,'👥 Estudiantes'!$C$3:$C$200,0)),"")</f>
      </c>
      <c r="E3" s="10">
        <f>IFERROR(INDEX('👥 Estudiantes'!$E$3:$E$200,MATCH($C3,'👥 Estudiantes'!$C$3:$C$200,0)),"")</f>
      </c>
      <c r="F3" s="9" t="s">
        <v>668</v>
      </c>
      <c r="G3" s="10">
        <f>IFERROR(INDEX('🏢 Empresas'!$C$3:$C$200,MATCH($F3,'🏢 Empresas'!$B$3:$B$200,0)),"")</f>
      </c>
      <c r="H3" s="10">
        <f>IFERROR(INDEX('🏢 Empresas'!$D$3:$D$200,MATCH($F3,'🏢 Empresas'!$B$3:$B$200,0)),"")</f>
      </c>
      <c r="I3" s="10">
        <f>IFERROR(INDEX('🏢 Empresas'!$E$3:$E$200,MATCH($F3,'🏢 Empresas'!$B$3:$B$200,0)),"")</f>
      </c>
      <c r="J3" s="10">
        <f>IFERROR(INDEX('🏢 Empresas'!$F$3:$F$200,MATCH($F3,'🏢 Empresas'!$B$3:$B$200,0)),"")</f>
      </c>
      <c r="K3" s="9" t="s">
        <v>899</v>
      </c>
      <c r="L3" s="10">
        <f>IFERROR(INDEX('👥 Estudiantes'!$G$3:$G$200,MATCH($C3,'👥 Estudiantes'!$C$3:$C$200,0)),"")</f>
      </c>
      <c r="M3" s="10">
        <f>IFERROR(INDEX('👥 Estudiantes'!$H$3:$H$200,MATCH($C3,'👥 Estudiantes'!$C$3:$C$200,0)),"")</f>
      </c>
      <c r="N3" s="10">
        <f>IFERROR(INDEX('👥 Estudiantes'!$I$3:$I$200,MATCH($C3,'👥 Estudiantes'!$C$3:$C$200,0)),"")</f>
      </c>
      <c r="O3" s="10">
        <f>IFERROR(INDEX('👥 Estudiantes'!$J$3:$J$200,MATCH($C3,'👥 Estudiantes'!$C$3:$C$200,0)),"")</f>
      </c>
      <c r="P3" s="9" t="s">
        <v>916</v>
      </c>
    </row>
    <row r="4" spans="1:16" x14ac:dyDescent="0.25">
      <c r="A4">
        <f>IF($C4="","",ROW()-2)</f>
      </c>
      <c r="B4" s="8">
        <f>IFERROR(INDEX('👥 Estudiantes'!$B$3:$B$200,MATCH($C4,'👥 Estudiantes'!$C$3:$C$200,0)),"")</f>
      </c>
      <c r="C4" s="9" t="s">
        <v>43</v>
      </c>
      <c r="D4" s="10">
        <f>IFERROR(INDEX('👥 Estudiantes'!$D$3:$D$200,MATCH($C4,'👥 Estudiantes'!$C$3:$C$200,0)),"")</f>
      </c>
      <c r="E4" s="10">
        <f>IFERROR(INDEX('👥 Estudiantes'!$E$3:$E$200,MATCH($C4,'👥 Estudiantes'!$C$3:$C$200,0)),"")</f>
      </c>
      <c r="F4" s="9" t="s">
        <v>723</v>
      </c>
      <c r="G4" s="10">
        <f>IFERROR(INDEX('🏢 Empresas'!$C$3:$C$200,MATCH($F4,'🏢 Empresas'!$B$3:$B$200,0)),"")</f>
      </c>
      <c r="H4" s="10">
        <f>IFERROR(INDEX('🏢 Empresas'!$D$3:$D$200,MATCH($F4,'🏢 Empresas'!$B$3:$B$200,0)),"")</f>
      </c>
      <c r="I4" s="10">
        <f>IFERROR(INDEX('🏢 Empresas'!$E$3:$E$200,MATCH($F4,'🏢 Empresas'!$B$3:$B$200,0)),"")</f>
      </c>
      <c r="J4" s="10">
        <f>IFERROR(INDEX('🏢 Empresas'!$F$3:$F$200,MATCH($F4,'🏢 Empresas'!$B$3:$B$200,0)),"")</f>
      </c>
      <c r="K4" s="9" t="s">
        <v>906</v>
      </c>
      <c r="L4" s="10">
        <f>IFERROR(INDEX('👥 Estudiantes'!$G$3:$G$200,MATCH($C4,'👥 Estudiantes'!$C$3:$C$200,0)),"")</f>
      </c>
      <c r="M4" s="10">
        <f>IFERROR(INDEX('👥 Estudiantes'!$H$3:$H$200,MATCH($C4,'👥 Estudiantes'!$C$3:$C$200,0)),"")</f>
      </c>
      <c r="N4" s="10">
        <f>IFERROR(INDEX('👥 Estudiantes'!$I$3:$I$200,MATCH($C4,'👥 Estudiantes'!$C$3:$C$200,0)),"")</f>
      </c>
      <c r="O4" s="10">
        <f>IFERROR(INDEX('👥 Estudiantes'!$J$3:$J$200,MATCH($C4,'👥 Estudiantes'!$C$3:$C$200,0)),"")</f>
      </c>
      <c r="P4" s="9" t="s">
        <v>917</v>
      </c>
    </row>
    <row r="5" spans="1:16" x14ac:dyDescent="0.25">
      <c r="A5">
        <f>IF($C5="","",ROW()-2)</f>
      </c>
      <c r="B5" s="8">
        <f>IFERROR(INDEX('👥 Estudiantes'!$B$3:$B$200,MATCH($C5,'👥 Estudiantes'!$C$3:$C$200,0)),"")</f>
      </c>
      <c r="C5" s="9" t="s">
        <v>49</v>
      </c>
      <c r="D5" s="10">
        <f>IFERROR(INDEX('👥 Estudiantes'!$D$3:$D$200,MATCH($C5,'👥 Estudiantes'!$C$3:$C$200,0)),"")</f>
      </c>
      <c r="E5" s="10">
        <f>IFERROR(INDEX('👥 Estudiantes'!$E$3:$E$200,MATCH($C5,'👥 Estudiantes'!$C$3:$C$200,0)),"")</f>
      </c>
      <c r="F5" s="9" t="s">
        <v>876</v>
      </c>
      <c r="G5" s="10">
        <f>IFERROR(INDEX('🏢 Empresas'!$C$3:$C$200,MATCH($F5,'🏢 Empresas'!$B$3:$B$200,0)),"")</f>
      </c>
      <c r="H5" s="10">
        <f>IFERROR(INDEX('🏢 Empresas'!$D$3:$D$200,MATCH($F5,'🏢 Empresas'!$B$3:$B$200,0)),"")</f>
      </c>
      <c r="I5" s="10">
        <f>IFERROR(INDEX('🏢 Empresas'!$E$3:$E$200,MATCH($F5,'🏢 Empresas'!$B$3:$B$200,0)),"")</f>
      </c>
      <c r="J5" s="10">
        <f>IFERROR(INDEX('🏢 Empresas'!$F$3:$F$200,MATCH($F5,'🏢 Empresas'!$B$3:$B$200,0)),"")</f>
      </c>
      <c r="K5" s="9" t="s">
        <v>903</v>
      </c>
      <c r="L5" s="10">
        <f>IFERROR(INDEX('👥 Estudiantes'!$G$3:$G$200,MATCH($C5,'👥 Estudiantes'!$C$3:$C$200,0)),"")</f>
      </c>
      <c r="M5" s="10">
        <f>IFERROR(INDEX('👥 Estudiantes'!$H$3:$H$200,MATCH($C5,'👥 Estudiantes'!$C$3:$C$200,0)),"")</f>
      </c>
      <c r="N5" s="10">
        <f>IFERROR(INDEX('👥 Estudiantes'!$I$3:$I$200,MATCH($C5,'👥 Estudiantes'!$C$3:$C$200,0)),"")</f>
      </c>
      <c r="O5" s="10">
        <f>IFERROR(INDEX('👥 Estudiantes'!$J$3:$J$200,MATCH($C5,'👥 Estudiantes'!$C$3:$C$200,0)),"")</f>
      </c>
      <c r="P5" s="9" t="s">
        <v>916</v>
      </c>
    </row>
    <row r="6" spans="1:16" x14ac:dyDescent="0.25">
      <c r="A6">
        <f>IF($C6="","",ROW()-2)</f>
      </c>
      <c r="B6" s="8">
        <f>IFERROR(INDEX('👥 Estudiantes'!$B$3:$B$200,MATCH($C6,'👥 Estudiantes'!$C$3:$C$200,0)),"")</f>
      </c>
      <c r="C6" s="9" t="s">
        <v>53</v>
      </c>
      <c r="D6" s="10">
        <f>IFERROR(INDEX('👥 Estudiantes'!$D$3:$D$200,MATCH($C6,'👥 Estudiantes'!$C$3:$C$200,0)),"")</f>
      </c>
      <c r="E6" s="10">
        <f>IFERROR(INDEX('👥 Estudiantes'!$E$3:$E$200,MATCH($C6,'👥 Estudiantes'!$C$3:$C$200,0)),"")</f>
      </c>
      <c r="F6" s="9" t="s">
        <v>782</v>
      </c>
      <c r="G6" s="10">
        <f>IFERROR(INDEX('🏢 Empresas'!$C$3:$C$200,MATCH($F6,'🏢 Empresas'!$B$3:$B$200,0)),"")</f>
      </c>
      <c r="H6" s="10">
        <f>IFERROR(INDEX('🏢 Empresas'!$D$3:$D$200,MATCH($F6,'🏢 Empresas'!$B$3:$B$200,0)),"")</f>
      </c>
      <c r="I6" s="10">
        <f>IFERROR(INDEX('🏢 Empresas'!$E$3:$E$200,MATCH($F6,'🏢 Empresas'!$B$3:$B$200,0)),"")</f>
      </c>
      <c r="J6" s="10">
        <f>IFERROR(INDEX('🏢 Empresas'!$F$3:$F$200,MATCH($F6,'🏢 Empresas'!$B$3:$B$200,0)),"")</f>
      </c>
      <c r="K6" s="9" t="s">
        <v>909</v>
      </c>
      <c r="L6" s="10">
        <f>IFERROR(INDEX('👥 Estudiantes'!$G$3:$G$200,MATCH($C6,'👥 Estudiantes'!$C$3:$C$200,0)),"")</f>
      </c>
      <c r="M6" s="10">
        <f>IFERROR(INDEX('👥 Estudiantes'!$H$3:$H$200,MATCH($C6,'👥 Estudiantes'!$C$3:$C$200,0)),"")</f>
      </c>
      <c r="N6" s="10">
        <f>IFERROR(INDEX('👥 Estudiantes'!$I$3:$I$200,MATCH($C6,'👥 Estudiantes'!$C$3:$C$200,0)),"")</f>
      </c>
      <c r="O6" s="10">
        <f>IFERROR(INDEX('👥 Estudiantes'!$J$3:$J$200,MATCH($C6,'👥 Estudiantes'!$C$3:$C$200,0)),"")</f>
      </c>
      <c r="P6" s="9" t="s">
        <v>916</v>
      </c>
    </row>
    <row r="7" spans="1:16" x14ac:dyDescent="0.25">
      <c r="A7">
        <f>IF($C7="","",ROW()-2)</f>
      </c>
      <c r="B7" s="8">
        <f>IFERROR(INDEX('👥 Estudiantes'!$B$3:$B$200,MATCH($C7,'👥 Estudiantes'!$C$3:$C$200,0)),"")</f>
      </c>
      <c r="C7" s="9" t="s">
        <v>57</v>
      </c>
      <c r="D7" s="10">
        <f>IFERROR(INDEX('👥 Estudiantes'!$D$3:$D$200,MATCH($C7,'👥 Estudiantes'!$C$3:$C$200,0)),"")</f>
      </c>
      <c r="E7" s="10">
        <f>IFERROR(INDEX('👥 Estudiantes'!$E$3:$E$200,MATCH($C7,'👥 Estudiantes'!$C$3:$C$200,0)),"")</f>
      </c>
      <c r="F7" s="9" t="s">
        <v>732</v>
      </c>
      <c r="G7" s="10">
        <f>IFERROR(INDEX('🏢 Empresas'!$C$3:$C$200,MATCH($F7,'🏢 Empresas'!$B$3:$B$200,0)),"")</f>
      </c>
      <c r="H7" s="10">
        <f>IFERROR(INDEX('🏢 Empresas'!$D$3:$D$200,MATCH($F7,'🏢 Empresas'!$B$3:$B$200,0)),"")</f>
      </c>
      <c r="I7" s="10">
        <f>IFERROR(INDEX('🏢 Empresas'!$E$3:$E$200,MATCH($F7,'🏢 Empresas'!$B$3:$B$200,0)),"")</f>
      </c>
      <c r="J7" s="10">
        <f>IFERROR(INDEX('🏢 Empresas'!$F$3:$F$200,MATCH($F7,'🏢 Empresas'!$B$3:$B$200,0)),"")</f>
      </c>
      <c r="K7" s="9" t="s">
        <v>899</v>
      </c>
      <c r="L7" s="10">
        <f>IFERROR(INDEX('👥 Estudiantes'!$G$3:$G$200,MATCH($C7,'👥 Estudiantes'!$C$3:$C$200,0)),"")</f>
      </c>
      <c r="M7" s="10">
        <f>IFERROR(INDEX('👥 Estudiantes'!$H$3:$H$200,MATCH($C7,'👥 Estudiantes'!$C$3:$C$200,0)),"")</f>
      </c>
      <c r="N7" s="10">
        <f>IFERROR(INDEX('👥 Estudiantes'!$I$3:$I$200,MATCH($C7,'👥 Estudiantes'!$C$3:$C$200,0)),"")</f>
      </c>
      <c r="O7" s="10">
        <f>IFERROR(INDEX('👥 Estudiantes'!$J$3:$J$200,MATCH($C7,'👥 Estudiantes'!$C$3:$C$200,0)),"")</f>
      </c>
      <c r="P7" s="9" t="s">
        <v>918</v>
      </c>
    </row>
    <row r="8" spans="1:16" x14ac:dyDescent="0.25">
      <c r="A8">
        <f>IF($C8="","",ROW()-2)</f>
      </c>
      <c r="B8" s="8">
        <f>IFERROR(INDEX('👥 Estudiantes'!$B$3:$B$200,MATCH($C8,'👥 Estudiantes'!$C$3:$C$200,0)),"")</f>
      </c>
      <c r="C8" s="9" t="s">
        <v>61</v>
      </c>
      <c r="D8" s="10">
        <f>IFERROR(INDEX('👥 Estudiantes'!$D$3:$D$200,MATCH($C8,'👥 Estudiantes'!$C$3:$C$200,0)),"")</f>
      </c>
      <c r="E8" s="10">
        <f>IFERROR(INDEX('👥 Estudiantes'!$E$3:$E$200,MATCH($C8,'👥 Estudiantes'!$C$3:$C$200,0)),"")</f>
      </c>
      <c r="F8" s="9" t="s">
        <v>753</v>
      </c>
      <c r="G8" s="10">
        <f>IFERROR(INDEX('🏢 Empresas'!$C$3:$C$200,MATCH($F8,'🏢 Empresas'!$B$3:$B$200,0)),"")</f>
      </c>
      <c r="H8" s="10">
        <f>IFERROR(INDEX('🏢 Empresas'!$D$3:$D$200,MATCH($F8,'🏢 Empresas'!$B$3:$B$200,0)),"")</f>
      </c>
      <c r="I8" s="10">
        <f>IFERROR(INDEX('🏢 Empresas'!$E$3:$E$200,MATCH($F8,'🏢 Empresas'!$B$3:$B$200,0)),"")</f>
      </c>
      <c r="J8" s="10">
        <f>IFERROR(INDEX('🏢 Empresas'!$F$3:$F$200,MATCH($F8,'🏢 Empresas'!$B$3:$B$200,0)),"")</f>
      </c>
      <c r="K8" s="9" t="s">
        <v>902</v>
      </c>
      <c r="L8" s="10">
        <f>IFERROR(INDEX('👥 Estudiantes'!$G$3:$G$200,MATCH($C8,'👥 Estudiantes'!$C$3:$C$200,0)),"")</f>
      </c>
      <c r="M8" s="10">
        <f>IFERROR(INDEX('👥 Estudiantes'!$H$3:$H$200,MATCH($C8,'👥 Estudiantes'!$C$3:$C$200,0)),"")</f>
      </c>
      <c r="N8" s="10">
        <f>IFERROR(INDEX('👥 Estudiantes'!$I$3:$I$200,MATCH($C8,'👥 Estudiantes'!$C$3:$C$200,0)),"")</f>
      </c>
      <c r="O8" s="10">
        <f>IFERROR(INDEX('👥 Estudiantes'!$J$3:$J$200,MATCH($C8,'👥 Estudiantes'!$C$3:$C$200,0)),"")</f>
      </c>
      <c r="P8" s="9" t="s">
        <v>919</v>
      </c>
    </row>
    <row r="9" spans="1:16" x14ac:dyDescent="0.25">
      <c r="A9">
        <f>IF($C9="","",ROW()-2)</f>
      </c>
      <c r="B9" s="8">
        <f>IFERROR(INDEX('👥 Estudiantes'!$B$3:$B$200,MATCH($C9,'👥 Estudiantes'!$C$3:$C$200,0)),"")</f>
      </c>
      <c r="C9" s="9" t="s">
        <v>65</v>
      </c>
      <c r="D9" s="10">
        <f>IFERROR(INDEX('👥 Estudiantes'!$D$3:$D$200,MATCH($C9,'👥 Estudiantes'!$C$3:$C$200,0)),"")</f>
      </c>
      <c r="E9" s="10">
        <f>IFERROR(INDEX('👥 Estudiantes'!$E$3:$E$200,MATCH($C9,'👥 Estudiantes'!$C$3:$C$200,0)),"")</f>
      </c>
      <c r="F9" s="9" t="s">
        <v>773</v>
      </c>
      <c r="G9" s="10">
        <f>IFERROR(INDEX('🏢 Empresas'!$C$3:$C$200,MATCH($F9,'🏢 Empresas'!$B$3:$B$200,0)),"")</f>
      </c>
      <c r="H9" s="10">
        <f>IFERROR(INDEX('🏢 Empresas'!$D$3:$D$200,MATCH($F9,'🏢 Empresas'!$B$3:$B$200,0)),"")</f>
      </c>
      <c r="I9" s="10">
        <f>IFERROR(INDEX('🏢 Empresas'!$E$3:$E$200,MATCH($F9,'🏢 Empresas'!$B$3:$B$200,0)),"")</f>
      </c>
      <c r="J9" s="10">
        <f>IFERROR(INDEX('🏢 Empresas'!$F$3:$F$200,MATCH($F9,'🏢 Empresas'!$B$3:$B$200,0)),"")</f>
      </c>
      <c r="K9" s="9" t="s">
        <v>904</v>
      </c>
      <c r="L9" s="10">
        <f>IFERROR(INDEX('👥 Estudiantes'!$G$3:$G$200,MATCH($C9,'👥 Estudiantes'!$C$3:$C$200,0)),"")</f>
      </c>
      <c r="M9" s="10">
        <f>IFERROR(INDEX('👥 Estudiantes'!$H$3:$H$200,MATCH($C9,'👥 Estudiantes'!$C$3:$C$200,0)),"")</f>
      </c>
      <c r="N9" s="10">
        <f>IFERROR(INDEX('👥 Estudiantes'!$I$3:$I$200,MATCH($C9,'👥 Estudiantes'!$C$3:$C$200,0)),"")</f>
      </c>
      <c r="O9" s="10">
        <f>IFERROR(INDEX('👥 Estudiantes'!$J$3:$J$200,MATCH($C9,'👥 Estudiantes'!$C$3:$C$200,0)),"")</f>
      </c>
      <c r="P9" s="9" t="s">
        <v>919</v>
      </c>
    </row>
    <row r="10" spans="1:16" x14ac:dyDescent="0.25">
      <c r="A10">
        <f>IF($C10="","",ROW()-2)</f>
      </c>
      <c r="B10" s="8">
        <f>IFERROR(INDEX('👥 Estudiantes'!$B$3:$B$200,MATCH($C10,'👥 Estudiantes'!$C$3:$C$200,0)),"")</f>
      </c>
      <c r="C10" s="9" t="s">
        <v>69</v>
      </c>
      <c r="D10" s="10">
        <f>IFERROR(INDEX('👥 Estudiantes'!$D$3:$D$200,MATCH($C10,'👥 Estudiantes'!$C$3:$C$200,0)),"")</f>
      </c>
      <c r="E10" s="10">
        <f>IFERROR(INDEX('👥 Estudiantes'!$E$3:$E$200,MATCH($C10,'👥 Estudiantes'!$C$3:$C$200,0)),"")</f>
      </c>
      <c r="F10" s="9" t="s">
        <v>873</v>
      </c>
      <c r="G10" s="10">
        <f>IFERROR(INDEX('🏢 Empresas'!$C$3:$C$200,MATCH($F10,'🏢 Empresas'!$B$3:$B$200,0)),"")</f>
      </c>
      <c r="H10" s="10">
        <f>IFERROR(INDEX('🏢 Empresas'!$D$3:$D$200,MATCH($F10,'🏢 Empresas'!$B$3:$B$200,0)),"")</f>
      </c>
      <c r="I10" s="10">
        <f>IFERROR(INDEX('🏢 Empresas'!$E$3:$E$200,MATCH($F10,'🏢 Empresas'!$B$3:$B$200,0)),"")</f>
      </c>
      <c r="J10" s="10">
        <f>IFERROR(INDEX('🏢 Empresas'!$F$3:$F$200,MATCH($F10,'🏢 Empresas'!$B$3:$B$200,0)),"")</f>
      </c>
      <c r="K10" s="9" t="s">
        <v>904</v>
      </c>
      <c r="L10" s="10">
        <f>IFERROR(INDEX('👥 Estudiantes'!$G$3:$G$200,MATCH($C10,'👥 Estudiantes'!$C$3:$C$200,0)),"")</f>
      </c>
      <c r="M10" s="10">
        <f>IFERROR(INDEX('👥 Estudiantes'!$H$3:$H$200,MATCH($C10,'👥 Estudiantes'!$C$3:$C$200,0)),"")</f>
      </c>
      <c r="N10" s="10">
        <f>IFERROR(INDEX('👥 Estudiantes'!$I$3:$I$200,MATCH($C10,'👥 Estudiantes'!$C$3:$C$200,0)),"")</f>
      </c>
      <c r="O10" s="10">
        <f>IFERROR(INDEX('👥 Estudiantes'!$J$3:$J$200,MATCH($C10,'👥 Estudiantes'!$C$3:$C$200,0)),"")</f>
      </c>
      <c r="P10" s="9" t="s">
        <v>920</v>
      </c>
    </row>
    <row r="11" spans="1:16" x14ac:dyDescent="0.25">
      <c r="A11">
        <f>IF($C11="","",ROW()-2)</f>
      </c>
      <c r="B11" s="8">
        <f>IFERROR(INDEX('👥 Estudiantes'!$B$3:$B$200,MATCH($C11,'👥 Estudiantes'!$C$3:$C$200,0)),"")</f>
      </c>
      <c r="C11" s="9" t="s">
        <v>73</v>
      </c>
      <c r="D11" s="10">
        <f>IFERROR(INDEX('👥 Estudiantes'!$D$3:$D$200,MATCH($C11,'👥 Estudiantes'!$C$3:$C$200,0)),"")</f>
      </c>
      <c r="E11" s="10">
        <f>IFERROR(INDEX('👥 Estudiantes'!$E$3:$E$200,MATCH($C11,'👥 Estudiantes'!$C$3:$C$200,0)),"")</f>
      </c>
      <c r="F11" s="9" t="s">
        <v>773</v>
      </c>
      <c r="G11" s="10">
        <f>IFERROR(INDEX('🏢 Empresas'!$C$3:$C$200,MATCH($F11,'🏢 Empresas'!$B$3:$B$200,0)),"")</f>
      </c>
      <c r="H11" s="10">
        <f>IFERROR(INDEX('🏢 Empresas'!$D$3:$D$200,MATCH($F11,'🏢 Empresas'!$B$3:$B$200,0)),"")</f>
      </c>
      <c r="I11" s="10">
        <f>IFERROR(INDEX('🏢 Empresas'!$E$3:$E$200,MATCH($F11,'🏢 Empresas'!$B$3:$B$200,0)),"")</f>
      </c>
      <c r="J11" s="10">
        <f>IFERROR(INDEX('🏢 Empresas'!$F$3:$F$200,MATCH($F11,'🏢 Empresas'!$B$3:$B$200,0)),"")</f>
      </c>
      <c r="K11" s="9" t="s">
        <v>904</v>
      </c>
      <c r="L11" s="10">
        <f>IFERROR(INDEX('👥 Estudiantes'!$G$3:$G$200,MATCH($C11,'👥 Estudiantes'!$C$3:$C$200,0)),"")</f>
      </c>
      <c r="M11" s="10">
        <f>IFERROR(INDEX('👥 Estudiantes'!$H$3:$H$200,MATCH($C11,'👥 Estudiantes'!$C$3:$C$200,0)),"")</f>
      </c>
      <c r="N11" s="10">
        <f>IFERROR(INDEX('👥 Estudiantes'!$I$3:$I$200,MATCH($C11,'👥 Estudiantes'!$C$3:$C$200,0)),"")</f>
      </c>
      <c r="O11" s="10">
        <f>IFERROR(INDEX('👥 Estudiantes'!$J$3:$J$200,MATCH($C11,'👥 Estudiantes'!$C$3:$C$200,0)),"")</f>
      </c>
      <c r="P11" s="9" t="s">
        <v>918</v>
      </c>
    </row>
    <row r="12" spans="1:16" x14ac:dyDescent="0.25">
      <c r="A12">
        <f>IF($C12="","",ROW()-2)</f>
      </c>
      <c r="B12" s="8">
        <f>IFERROR(INDEX('👥 Estudiantes'!$B$3:$B$200,MATCH($C12,'👥 Estudiantes'!$C$3:$C$200,0)),"")</f>
      </c>
      <c r="C12" s="9" t="s">
        <v>77</v>
      </c>
      <c r="D12" s="10">
        <f>IFERROR(INDEX('👥 Estudiantes'!$D$3:$D$200,MATCH($C12,'👥 Estudiantes'!$C$3:$C$200,0)),"")</f>
      </c>
      <c r="E12" s="10">
        <f>IFERROR(INDEX('👥 Estudiantes'!$E$3:$E$200,MATCH($C12,'👥 Estudiantes'!$C$3:$C$200,0)),"")</f>
      </c>
      <c r="F12" s="9" t="s">
        <v>691</v>
      </c>
      <c r="G12" s="10">
        <f>IFERROR(INDEX('🏢 Empresas'!$C$3:$C$200,MATCH($F12,'🏢 Empresas'!$B$3:$B$200,0)),"")</f>
      </c>
      <c r="H12" s="10">
        <f>IFERROR(INDEX('🏢 Empresas'!$D$3:$D$200,MATCH($F12,'🏢 Empresas'!$B$3:$B$200,0)),"")</f>
      </c>
      <c r="I12" s="10">
        <f>IFERROR(INDEX('🏢 Empresas'!$E$3:$E$200,MATCH($F12,'🏢 Empresas'!$B$3:$B$200,0)),"")</f>
      </c>
      <c r="J12" s="10">
        <f>IFERROR(INDEX('🏢 Empresas'!$F$3:$F$200,MATCH($F12,'🏢 Empresas'!$B$3:$B$200,0)),"")</f>
      </c>
      <c r="K12" s="9" t="s">
        <v>901</v>
      </c>
      <c r="L12" s="10">
        <f>IFERROR(INDEX('👥 Estudiantes'!$G$3:$G$200,MATCH($C12,'👥 Estudiantes'!$C$3:$C$200,0)),"")</f>
      </c>
      <c r="M12" s="10">
        <f>IFERROR(INDEX('👥 Estudiantes'!$H$3:$H$200,MATCH($C12,'👥 Estudiantes'!$C$3:$C$200,0)),"")</f>
      </c>
      <c r="N12" s="10">
        <f>IFERROR(INDEX('👥 Estudiantes'!$I$3:$I$200,MATCH($C12,'👥 Estudiantes'!$C$3:$C$200,0)),"")</f>
      </c>
      <c r="O12" s="10">
        <f>IFERROR(INDEX('👥 Estudiantes'!$J$3:$J$200,MATCH($C12,'👥 Estudiantes'!$C$3:$C$200,0)),"")</f>
      </c>
      <c r="P12" s="9" t="s">
        <v>918</v>
      </c>
    </row>
    <row r="13" spans="1:16" x14ac:dyDescent="0.25">
      <c r="A13">
        <f>IF($C13="","",ROW()-2)</f>
      </c>
      <c r="B13" s="8">
        <f>IFERROR(INDEX('👥 Estudiantes'!$B$3:$B$200,MATCH($C13,'👥 Estudiantes'!$C$3:$C$200,0)),"")</f>
      </c>
      <c r="C13" s="9" t="s">
        <v>81</v>
      </c>
      <c r="D13" s="10">
        <f>IFERROR(INDEX('👥 Estudiantes'!$D$3:$D$200,MATCH($C13,'👥 Estudiantes'!$C$3:$C$200,0)),"")</f>
      </c>
      <c r="E13" s="10">
        <f>IFERROR(INDEX('👥 Estudiantes'!$E$3:$E$200,MATCH($C13,'👥 Estudiantes'!$C$3:$C$200,0)),"")</f>
      </c>
      <c r="F13" s="9" t="s">
        <v>757</v>
      </c>
      <c r="G13" s="10">
        <f>IFERROR(INDEX('🏢 Empresas'!$C$3:$C$200,MATCH($F13,'🏢 Empresas'!$B$3:$B$200,0)),"")</f>
      </c>
      <c r="H13" s="10">
        <f>IFERROR(INDEX('🏢 Empresas'!$D$3:$D$200,MATCH($F13,'🏢 Empresas'!$B$3:$B$200,0)),"")</f>
      </c>
      <c r="I13" s="10">
        <f>IFERROR(INDEX('🏢 Empresas'!$E$3:$E$200,MATCH($F13,'🏢 Empresas'!$B$3:$B$200,0)),"")</f>
      </c>
      <c r="J13" s="10">
        <f>IFERROR(INDEX('🏢 Empresas'!$F$3:$F$200,MATCH($F13,'🏢 Empresas'!$B$3:$B$200,0)),"")</f>
      </c>
      <c r="K13" s="9" t="s">
        <v>900</v>
      </c>
      <c r="L13" s="10">
        <f>IFERROR(INDEX('👥 Estudiantes'!$G$3:$G$200,MATCH($C13,'👥 Estudiantes'!$C$3:$C$200,0)),"")</f>
      </c>
      <c r="M13" s="10">
        <f>IFERROR(INDEX('👥 Estudiantes'!$H$3:$H$200,MATCH($C13,'👥 Estudiantes'!$C$3:$C$200,0)),"")</f>
      </c>
      <c r="N13" s="10">
        <f>IFERROR(INDEX('👥 Estudiantes'!$I$3:$I$200,MATCH($C13,'👥 Estudiantes'!$C$3:$C$200,0)),"")</f>
      </c>
      <c r="O13" s="10">
        <f>IFERROR(INDEX('👥 Estudiantes'!$J$3:$J$200,MATCH($C13,'👥 Estudiantes'!$C$3:$C$200,0)),"")</f>
      </c>
      <c r="P13" s="9" t="s">
        <v>919</v>
      </c>
    </row>
    <row r="14" spans="1:16" x14ac:dyDescent="0.25">
      <c r="A14">
        <f>IF($C14="","",ROW()-2)</f>
      </c>
      <c r="B14" s="8">
        <f>IFERROR(INDEX('👥 Estudiantes'!$B$3:$B$200,MATCH($C14,'👥 Estudiantes'!$C$3:$C$200,0)),"")</f>
      </c>
      <c r="C14" s="9" t="s">
        <v>85</v>
      </c>
      <c r="D14" s="10">
        <f>IFERROR(INDEX('👥 Estudiantes'!$D$3:$D$200,MATCH($C14,'👥 Estudiantes'!$C$3:$C$200,0)),"")</f>
      </c>
      <c r="E14" s="10">
        <f>IFERROR(INDEX('👥 Estudiantes'!$E$3:$E$200,MATCH($C14,'👥 Estudiantes'!$C$3:$C$200,0)),"")</f>
      </c>
      <c r="F14" s="9" t="s">
        <v>826</v>
      </c>
      <c r="G14" s="10">
        <f>IFERROR(INDEX('🏢 Empresas'!$C$3:$C$200,MATCH($F14,'🏢 Empresas'!$B$3:$B$200,0)),"")</f>
      </c>
      <c r="H14" s="10">
        <f>IFERROR(INDEX('🏢 Empresas'!$D$3:$D$200,MATCH($F14,'🏢 Empresas'!$B$3:$B$200,0)),"")</f>
      </c>
      <c r="I14" s="10">
        <f>IFERROR(INDEX('🏢 Empresas'!$E$3:$E$200,MATCH($F14,'🏢 Empresas'!$B$3:$B$200,0)),"")</f>
      </c>
      <c r="J14" s="10">
        <f>IFERROR(INDEX('🏢 Empresas'!$F$3:$F$200,MATCH($F14,'🏢 Empresas'!$B$3:$B$200,0)),"")</f>
      </c>
      <c r="K14" s="9" t="s">
        <v>907</v>
      </c>
      <c r="L14" s="10">
        <f>IFERROR(INDEX('👥 Estudiantes'!$G$3:$G$200,MATCH($C14,'👥 Estudiantes'!$C$3:$C$200,0)),"")</f>
      </c>
      <c r="M14" s="10">
        <f>IFERROR(INDEX('👥 Estudiantes'!$H$3:$H$200,MATCH($C14,'👥 Estudiantes'!$C$3:$C$200,0)),"")</f>
      </c>
      <c r="N14" s="10">
        <f>IFERROR(INDEX('👥 Estudiantes'!$I$3:$I$200,MATCH($C14,'👥 Estudiantes'!$C$3:$C$200,0)),"")</f>
      </c>
      <c r="O14" s="10">
        <f>IFERROR(INDEX('👥 Estudiantes'!$J$3:$J$200,MATCH($C14,'👥 Estudiantes'!$C$3:$C$200,0)),"")</f>
      </c>
      <c r="P14" s="9" t="s">
        <v>919</v>
      </c>
    </row>
    <row r="15" spans="1:16" x14ac:dyDescent="0.25">
      <c r="A15">
        <f>IF($C15="","",ROW()-2)</f>
      </c>
      <c r="B15" s="8">
        <f>IFERROR(INDEX('👥 Estudiantes'!$B$3:$B$200,MATCH($C15,'👥 Estudiantes'!$C$3:$C$200,0)),"")</f>
      </c>
      <c r="C15" s="9" t="s">
        <v>89</v>
      </c>
      <c r="D15" s="10">
        <f>IFERROR(INDEX('👥 Estudiantes'!$D$3:$D$200,MATCH($C15,'👥 Estudiantes'!$C$3:$C$200,0)),"")</f>
      </c>
      <c r="E15" s="10">
        <f>IFERROR(INDEX('👥 Estudiantes'!$E$3:$E$200,MATCH($C15,'👥 Estudiantes'!$C$3:$C$200,0)),"")</f>
      </c>
      <c r="F15" s="9" t="s">
        <v>599</v>
      </c>
      <c r="G15" s="10">
        <f>IFERROR(INDEX('🏢 Empresas'!$C$3:$C$200,MATCH($F15,'🏢 Empresas'!$B$3:$B$200,0)),"")</f>
      </c>
      <c r="H15" s="10">
        <f>IFERROR(INDEX('🏢 Empresas'!$D$3:$D$200,MATCH($F15,'🏢 Empresas'!$B$3:$B$200,0)),"")</f>
      </c>
      <c r="I15" s="10">
        <f>IFERROR(INDEX('🏢 Empresas'!$E$3:$E$200,MATCH($F15,'🏢 Empresas'!$B$3:$B$200,0)),"")</f>
      </c>
      <c r="J15" s="10">
        <f>IFERROR(INDEX('🏢 Empresas'!$F$3:$F$200,MATCH($F15,'🏢 Empresas'!$B$3:$B$200,0)),"")</f>
      </c>
      <c r="K15" s="9" t="s">
        <v>898</v>
      </c>
      <c r="L15" s="10">
        <f>IFERROR(INDEX('👥 Estudiantes'!$G$3:$G$200,MATCH($C15,'👥 Estudiantes'!$C$3:$C$200,0)),"")</f>
      </c>
      <c r="M15" s="10">
        <f>IFERROR(INDEX('👥 Estudiantes'!$H$3:$H$200,MATCH($C15,'👥 Estudiantes'!$C$3:$C$200,0)),"")</f>
      </c>
      <c r="N15" s="10">
        <f>IFERROR(INDEX('👥 Estudiantes'!$I$3:$I$200,MATCH($C15,'👥 Estudiantes'!$C$3:$C$200,0)),"")</f>
      </c>
      <c r="O15" s="10">
        <f>IFERROR(INDEX('👥 Estudiantes'!$J$3:$J$200,MATCH($C15,'👥 Estudiantes'!$C$3:$C$200,0)),"")</f>
      </c>
      <c r="P15" s="9" t="s">
        <v>918</v>
      </c>
    </row>
    <row r="16" spans="1:16" x14ac:dyDescent="0.25">
      <c r="A16">
        <f>IF($C16="","",ROW()-2)</f>
      </c>
      <c r="B16" s="8">
        <f>IFERROR(INDEX('👥 Estudiantes'!$B$3:$B$200,MATCH($C16,'👥 Estudiantes'!$C$3:$C$200,0)),"")</f>
      </c>
      <c r="C16" s="9" t="s">
        <v>93</v>
      </c>
      <c r="D16" s="10">
        <f>IFERROR(INDEX('👥 Estudiantes'!$D$3:$D$200,MATCH($C16,'👥 Estudiantes'!$C$3:$C$200,0)),"")</f>
      </c>
      <c r="E16" s="10">
        <f>IFERROR(INDEX('👥 Estudiantes'!$E$3:$E$200,MATCH($C16,'👥 Estudiantes'!$C$3:$C$200,0)),"")</f>
      </c>
      <c r="F16" s="9" t="s">
        <v>851</v>
      </c>
      <c r="G16" s="10">
        <f>IFERROR(INDEX('🏢 Empresas'!$C$3:$C$200,MATCH($F16,'🏢 Empresas'!$B$3:$B$200,0)),"")</f>
      </c>
      <c r="H16" s="10">
        <f>IFERROR(INDEX('🏢 Empresas'!$D$3:$D$200,MATCH($F16,'🏢 Empresas'!$B$3:$B$200,0)),"")</f>
      </c>
      <c r="I16" s="10">
        <f>IFERROR(INDEX('🏢 Empresas'!$E$3:$E$200,MATCH($F16,'🏢 Empresas'!$B$3:$B$200,0)),"")</f>
      </c>
      <c r="J16" s="10">
        <f>IFERROR(INDEX('🏢 Empresas'!$F$3:$F$200,MATCH($F16,'🏢 Empresas'!$B$3:$B$200,0)),"")</f>
      </c>
      <c r="K16" s="9" t="s">
        <v>901</v>
      </c>
      <c r="L16" s="10">
        <f>IFERROR(INDEX('👥 Estudiantes'!$G$3:$G$200,MATCH($C16,'👥 Estudiantes'!$C$3:$C$200,0)),"")</f>
      </c>
      <c r="M16" s="10">
        <f>IFERROR(INDEX('👥 Estudiantes'!$H$3:$H$200,MATCH($C16,'👥 Estudiantes'!$C$3:$C$200,0)),"")</f>
      </c>
      <c r="N16" s="10">
        <f>IFERROR(INDEX('👥 Estudiantes'!$I$3:$I$200,MATCH($C16,'👥 Estudiantes'!$C$3:$C$200,0)),"")</f>
      </c>
      <c r="O16" s="10">
        <f>IFERROR(INDEX('👥 Estudiantes'!$J$3:$J$200,MATCH($C16,'👥 Estudiantes'!$C$3:$C$200,0)),"")</f>
      </c>
      <c r="P16" s="9" t="s">
        <v>920</v>
      </c>
    </row>
    <row r="17" spans="1:16" x14ac:dyDescent="0.25">
      <c r="A17">
        <f>IF($C17="","",ROW()-2)</f>
      </c>
      <c r="B17" s="8">
        <f>IFERROR(INDEX('👥 Estudiantes'!$B$3:$B$200,MATCH($C17,'👥 Estudiantes'!$C$3:$C$200,0)),"")</f>
      </c>
      <c r="C17" s="9" t="s">
        <v>97</v>
      </c>
      <c r="D17" s="10">
        <f>IFERROR(INDEX('👥 Estudiantes'!$D$3:$D$200,MATCH($C17,'👥 Estudiantes'!$C$3:$C$200,0)),"")</f>
      </c>
      <c r="E17" s="10">
        <f>IFERROR(INDEX('👥 Estudiantes'!$E$3:$E$200,MATCH($C17,'👥 Estudiantes'!$C$3:$C$200,0)),"")</f>
      </c>
      <c r="F17" s="9" t="s">
        <v>805</v>
      </c>
      <c r="G17" s="10">
        <f>IFERROR(INDEX('🏢 Empresas'!$C$3:$C$200,MATCH($F17,'🏢 Empresas'!$B$3:$B$200,0)),"")</f>
      </c>
      <c r="H17" s="10">
        <f>IFERROR(INDEX('🏢 Empresas'!$D$3:$D$200,MATCH($F17,'🏢 Empresas'!$B$3:$B$200,0)),"")</f>
      </c>
      <c r="I17" s="10">
        <f>IFERROR(INDEX('🏢 Empresas'!$E$3:$E$200,MATCH($F17,'🏢 Empresas'!$B$3:$B$200,0)),"")</f>
      </c>
      <c r="J17" s="10">
        <f>IFERROR(INDEX('🏢 Empresas'!$F$3:$F$200,MATCH($F17,'🏢 Empresas'!$B$3:$B$200,0)),"")</f>
      </c>
      <c r="K17" s="9" t="s">
        <v>899</v>
      </c>
      <c r="L17" s="10">
        <f>IFERROR(INDEX('👥 Estudiantes'!$G$3:$G$200,MATCH($C17,'👥 Estudiantes'!$C$3:$C$200,0)),"")</f>
      </c>
      <c r="M17" s="10">
        <f>IFERROR(INDEX('👥 Estudiantes'!$H$3:$H$200,MATCH($C17,'👥 Estudiantes'!$C$3:$C$200,0)),"")</f>
      </c>
      <c r="N17" s="10">
        <f>IFERROR(INDEX('👥 Estudiantes'!$I$3:$I$200,MATCH($C17,'👥 Estudiantes'!$C$3:$C$200,0)),"")</f>
      </c>
      <c r="O17" s="10">
        <f>IFERROR(INDEX('👥 Estudiantes'!$J$3:$J$200,MATCH($C17,'👥 Estudiantes'!$C$3:$C$200,0)),"")</f>
      </c>
      <c r="P17" s="9" t="s">
        <v>919</v>
      </c>
    </row>
    <row r="18" spans="1:16" x14ac:dyDescent="0.25">
      <c r="A18">
        <f>IF($C18="","",ROW()-2)</f>
      </c>
      <c r="B18" s="8">
        <f>IFERROR(INDEX('👥 Estudiantes'!$B$3:$B$200,MATCH($C18,'👥 Estudiantes'!$C$3:$C$200,0)),"")</f>
      </c>
      <c r="C18" s="9" t="s">
        <v>101</v>
      </c>
      <c r="D18" s="10">
        <f>IFERROR(INDEX('👥 Estudiantes'!$D$3:$D$200,MATCH($C18,'👥 Estudiantes'!$C$3:$C$200,0)),"")</f>
      </c>
      <c r="E18" s="10">
        <f>IFERROR(INDEX('👥 Estudiantes'!$E$3:$E$200,MATCH($C18,'👥 Estudiantes'!$C$3:$C$200,0)),"")</f>
      </c>
      <c r="F18" s="9" t="s">
        <v>732</v>
      </c>
      <c r="G18" s="10">
        <f>IFERROR(INDEX('🏢 Empresas'!$C$3:$C$200,MATCH($F18,'🏢 Empresas'!$B$3:$B$200,0)),"")</f>
      </c>
      <c r="H18" s="10">
        <f>IFERROR(INDEX('🏢 Empresas'!$D$3:$D$200,MATCH($F18,'🏢 Empresas'!$B$3:$B$200,0)),"")</f>
      </c>
      <c r="I18" s="10">
        <f>IFERROR(INDEX('🏢 Empresas'!$E$3:$E$200,MATCH($F18,'🏢 Empresas'!$B$3:$B$200,0)),"")</f>
      </c>
      <c r="J18" s="10">
        <f>IFERROR(INDEX('🏢 Empresas'!$F$3:$F$200,MATCH($F18,'🏢 Empresas'!$B$3:$B$200,0)),"")</f>
      </c>
      <c r="K18" s="9" t="s">
        <v>901</v>
      </c>
      <c r="L18" s="10">
        <f>IFERROR(INDEX('👥 Estudiantes'!$G$3:$G$200,MATCH($C18,'👥 Estudiantes'!$C$3:$C$200,0)),"")</f>
      </c>
      <c r="M18" s="10">
        <f>IFERROR(INDEX('👥 Estudiantes'!$H$3:$H$200,MATCH($C18,'👥 Estudiantes'!$C$3:$C$200,0)),"")</f>
      </c>
      <c r="N18" s="10">
        <f>IFERROR(INDEX('👥 Estudiantes'!$I$3:$I$200,MATCH($C18,'👥 Estudiantes'!$C$3:$C$200,0)),"")</f>
      </c>
      <c r="O18" s="10">
        <f>IFERROR(INDEX('👥 Estudiantes'!$J$3:$J$200,MATCH($C18,'👥 Estudiantes'!$C$3:$C$200,0)),"")</f>
      </c>
      <c r="P18" s="9" t="s">
        <v>916</v>
      </c>
    </row>
    <row r="19" spans="1:16" x14ac:dyDescent="0.25">
      <c r="A19">
        <f>IF($C19="","",ROW()-2)</f>
      </c>
      <c r="B19" s="8">
        <f>IFERROR(INDEX('👥 Estudiantes'!$B$3:$B$200,MATCH($C19,'👥 Estudiantes'!$C$3:$C$200,0)),"")</f>
      </c>
      <c r="C19" s="9" t="s">
        <v>105</v>
      </c>
      <c r="D19" s="10">
        <f>IFERROR(INDEX('👥 Estudiantes'!$D$3:$D$200,MATCH($C19,'👥 Estudiantes'!$C$3:$C$200,0)),"")</f>
      </c>
      <c r="E19" s="10">
        <f>IFERROR(INDEX('👥 Estudiantes'!$E$3:$E$200,MATCH($C19,'👥 Estudiantes'!$C$3:$C$200,0)),"")</f>
      </c>
      <c r="F19" s="9" t="s">
        <v>713</v>
      </c>
      <c r="G19" s="10">
        <f>IFERROR(INDEX('🏢 Empresas'!$C$3:$C$200,MATCH($F19,'🏢 Empresas'!$B$3:$B$200,0)),"")</f>
      </c>
      <c r="H19" s="10">
        <f>IFERROR(INDEX('🏢 Empresas'!$D$3:$D$200,MATCH($F19,'🏢 Empresas'!$B$3:$B$200,0)),"")</f>
      </c>
      <c r="I19" s="10">
        <f>IFERROR(INDEX('🏢 Empresas'!$E$3:$E$200,MATCH($F19,'🏢 Empresas'!$B$3:$B$200,0)),"")</f>
      </c>
      <c r="J19" s="10">
        <f>IFERROR(INDEX('🏢 Empresas'!$F$3:$F$200,MATCH($F19,'🏢 Empresas'!$B$3:$B$200,0)),"")</f>
      </c>
      <c r="K19" s="9" t="s">
        <v>900</v>
      </c>
      <c r="L19" s="10">
        <f>IFERROR(INDEX('👥 Estudiantes'!$G$3:$G$200,MATCH($C19,'👥 Estudiantes'!$C$3:$C$200,0)),"")</f>
      </c>
      <c r="M19" s="10">
        <f>IFERROR(INDEX('👥 Estudiantes'!$H$3:$H$200,MATCH($C19,'👥 Estudiantes'!$C$3:$C$200,0)),"")</f>
      </c>
      <c r="N19" s="10">
        <f>IFERROR(INDEX('👥 Estudiantes'!$I$3:$I$200,MATCH($C19,'👥 Estudiantes'!$C$3:$C$200,0)),"")</f>
      </c>
      <c r="O19" s="10">
        <f>IFERROR(INDEX('👥 Estudiantes'!$J$3:$J$200,MATCH($C19,'👥 Estudiantes'!$C$3:$C$200,0)),"")</f>
      </c>
      <c r="P19" s="9" t="s">
        <v>918</v>
      </c>
    </row>
    <row r="20" spans="1:16" x14ac:dyDescent="0.25">
      <c r="A20">
        <f>IF($C20="","",ROW()-2)</f>
      </c>
      <c r="B20" s="8">
        <f>IFERROR(INDEX('👥 Estudiantes'!$B$3:$B$200,MATCH($C20,'👥 Estudiantes'!$C$3:$C$200,0)),"")</f>
      </c>
      <c r="C20" s="9" t="s">
        <v>109</v>
      </c>
      <c r="D20" s="10">
        <f>IFERROR(INDEX('👥 Estudiantes'!$D$3:$D$200,MATCH($C20,'👥 Estudiantes'!$C$3:$C$200,0)),"")</f>
      </c>
      <c r="E20" s="10">
        <f>IFERROR(INDEX('👥 Estudiantes'!$E$3:$E$200,MATCH($C20,'👥 Estudiantes'!$C$3:$C$200,0)),"")</f>
      </c>
      <c r="F20" s="9" t="s">
        <v>599</v>
      </c>
      <c r="G20" s="10">
        <f>IFERROR(INDEX('🏢 Empresas'!$C$3:$C$200,MATCH($F20,'🏢 Empresas'!$B$3:$B$200,0)),"")</f>
      </c>
      <c r="H20" s="10">
        <f>IFERROR(INDEX('🏢 Empresas'!$D$3:$D$200,MATCH($F20,'🏢 Empresas'!$B$3:$B$200,0)),"")</f>
      </c>
      <c r="I20" s="10">
        <f>IFERROR(INDEX('🏢 Empresas'!$E$3:$E$200,MATCH($F20,'🏢 Empresas'!$B$3:$B$200,0)),"")</f>
      </c>
      <c r="J20" s="10">
        <f>IFERROR(INDEX('🏢 Empresas'!$F$3:$F$200,MATCH($F20,'🏢 Empresas'!$B$3:$B$200,0)),"")</f>
      </c>
      <c r="K20" s="9" t="s">
        <v>898</v>
      </c>
      <c r="L20" s="10">
        <f>IFERROR(INDEX('👥 Estudiantes'!$G$3:$G$200,MATCH($C20,'👥 Estudiantes'!$C$3:$C$200,0)),"")</f>
      </c>
      <c r="M20" s="10">
        <f>IFERROR(INDEX('👥 Estudiantes'!$H$3:$H$200,MATCH($C20,'👥 Estudiantes'!$C$3:$C$200,0)),"")</f>
      </c>
      <c r="N20" s="10">
        <f>IFERROR(INDEX('👥 Estudiantes'!$I$3:$I$200,MATCH($C20,'👥 Estudiantes'!$C$3:$C$200,0)),"")</f>
      </c>
      <c r="O20" s="10">
        <f>IFERROR(INDEX('👥 Estudiantes'!$J$3:$J$200,MATCH($C20,'👥 Estudiantes'!$C$3:$C$200,0)),"")</f>
      </c>
      <c r="P20" s="9" t="s">
        <v>919</v>
      </c>
    </row>
    <row r="21" spans="1:16" x14ac:dyDescent="0.25">
      <c r="A21">
        <f>IF($C21="","",ROW()-2)</f>
      </c>
      <c r="B21" s="8">
        <f>IFERROR(INDEX('👥 Estudiantes'!$B$3:$B$200,MATCH($C21,'👥 Estudiantes'!$C$3:$C$200,0)),"")</f>
      </c>
      <c r="C21" s="9" t="s">
        <v>113</v>
      </c>
      <c r="D21" s="10">
        <f>IFERROR(INDEX('👥 Estudiantes'!$D$3:$D$200,MATCH($C21,'👥 Estudiantes'!$C$3:$C$200,0)),"")</f>
      </c>
      <c r="E21" s="10">
        <f>IFERROR(INDEX('👥 Estudiantes'!$E$3:$E$200,MATCH($C21,'👥 Estudiantes'!$C$3:$C$200,0)),"")</f>
      </c>
      <c r="F21" s="9" t="s">
        <v>867</v>
      </c>
      <c r="G21" s="10">
        <f>IFERROR(INDEX('🏢 Empresas'!$C$3:$C$200,MATCH($F21,'🏢 Empresas'!$B$3:$B$200,0)),"")</f>
      </c>
      <c r="H21" s="10">
        <f>IFERROR(INDEX('🏢 Empresas'!$D$3:$D$200,MATCH($F21,'🏢 Empresas'!$B$3:$B$200,0)),"")</f>
      </c>
      <c r="I21" s="10">
        <f>IFERROR(INDEX('🏢 Empresas'!$E$3:$E$200,MATCH($F21,'🏢 Empresas'!$B$3:$B$200,0)),"")</f>
      </c>
      <c r="J21" s="10">
        <f>IFERROR(INDEX('🏢 Empresas'!$F$3:$F$200,MATCH($F21,'🏢 Empresas'!$B$3:$B$200,0)),"")</f>
      </c>
      <c r="K21" s="9" t="s">
        <v>906</v>
      </c>
      <c r="L21" s="10">
        <f>IFERROR(INDEX('👥 Estudiantes'!$G$3:$G$200,MATCH($C21,'👥 Estudiantes'!$C$3:$C$200,0)),"")</f>
      </c>
      <c r="M21" s="10">
        <f>IFERROR(INDEX('👥 Estudiantes'!$H$3:$H$200,MATCH($C21,'👥 Estudiantes'!$C$3:$C$200,0)),"")</f>
      </c>
      <c r="N21" s="10">
        <f>IFERROR(INDEX('👥 Estudiantes'!$I$3:$I$200,MATCH($C21,'👥 Estudiantes'!$C$3:$C$200,0)),"")</f>
      </c>
      <c r="O21" s="10">
        <f>IFERROR(INDEX('👥 Estudiantes'!$J$3:$J$200,MATCH($C21,'👥 Estudiantes'!$C$3:$C$200,0)),"")</f>
      </c>
      <c r="P21" s="9" t="s">
        <v>919</v>
      </c>
    </row>
    <row r="22" spans="1:16" x14ac:dyDescent="0.25">
      <c r="A22">
        <f>IF($C22="","",ROW()-2)</f>
      </c>
      <c r="B22" s="8">
        <f>IFERROR(INDEX('👥 Estudiantes'!$B$3:$B$200,MATCH($C22,'👥 Estudiantes'!$C$3:$C$200,0)),"")</f>
      </c>
      <c r="C22" s="9" t="s">
        <v>117</v>
      </c>
      <c r="D22" s="10">
        <f>IFERROR(INDEX('👥 Estudiantes'!$D$3:$D$200,MATCH($C22,'👥 Estudiantes'!$C$3:$C$200,0)),"")</f>
      </c>
      <c r="E22" s="10">
        <f>IFERROR(INDEX('👥 Estudiantes'!$E$3:$E$200,MATCH($C22,'👥 Estudiantes'!$C$3:$C$200,0)),"")</f>
      </c>
      <c r="F22" s="9" t="s">
        <v>618</v>
      </c>
      <c r="G22" s="10">
        <f>IFERROR(INDEX('🏢 Empresas'!$C$3:$C$200,MATCH($F22,'🏢 Empresas'!$B$3:$B$200,0)),"")</f>
      </c>
      <c r="H22" s="10">
        <f>IFERROR(INDEX('🏢 Empresas'!$D$3:$D$200,MATCH($F22,'🏢 Empresas'!$B$3:$B$200,0)),"")</f>
      </c>
      <c r="I22" s="10">
        <f>IFERROR(INDEX('🏢 Empresas'!$E$3:$E$200,MATCH($F22,'🏢 Empresas'!$B$3:$B$200,0)),"")</f>
      </c>
      <c r="J22" s="10">
        <f>IFERROR(INDEX('🏢 Empresas'!$F$3:$F$200,MATCH($F22,'🏢 Empresas'!$B$3:$B$200,0)),"")</f>
      </c>
      <c r="K22" s="9" t="s">
        <v>907</v>
      </c>
      <c r="L22" s="10">
        <f>IFERROR(INDEX('👥 Estudiantes'!$G$3:$G$200,MATCH($C22,'👥 Estudiantes'!$C$3:$C$200,0)),"")</f>
      </c>
      <c r="M22" s="10">
        <f>IFERROR(INDEX('👥 Estudiantes'!$H$3:$H$200,MATCH($C22,'👥 Estudiantes'!$C$3:$C$200,0)),"")</f>
      </c>
      <c r="N22" s="10">
        <f>IFERROR(INDEX('👥 Estudiantes'!$I$3:$I$200,MATCH($C22,'👥 Estudiantes'!$C$3:$C$200,0)),"")</f>
      </c>
      <c r="O22" s="10">
        <f>IFERROR(INDEX('👥 Estudiantes'!$J$3:$J$200,MATCH($C22,'👥 Estudiantes'!$C$3:$C$200,0)),"")</f>
      </c>
      <c r="P22" s="9" t="s">
        <v>916</v>
      </c>
    </row>
    <row r="23" spans="1:16" x14ac:dyDescent="0.25">
      <c r="A23">
        <f>IF($C23="","",ROW()-2)</f>
      </c>
      <c r="B23" s="8">
        <f>IFERROR(INDEX('👥 Estudiantes'!$B$3:$B$200,MATCH($C23,'👥 Estudiantes'!$C$3:$C$200,0)),"")</f>
      </c>
      <c r="C23" s="9" t="s">
        <v>121</v>
      </c>
      <c r="D23" s="10">
        <f>IFERROR(INDEX('👥 Estudiantes'!$D$3:$D$200,MATCH($C23,'👥 Estudiantes'!$C$3:$C$200,0)),"")</f>
      </c>
      <c r="E23" s="10">
        <f>IFERROR(INDEX('👥 Estudiantes'!$E$3:$E$200,MATCH($C23,'👥 Estudiantes'!$C$3:$C$200,0)),"")</f>
      </c>
      <c r="F23" s="9" t="s">
        <v>801</v>
      </c>
      <c r="G23" s="10">
        <f>IFERROR(INDEX('🏢 Empresas'!$C$3:$C$200,MATCH($F23,'🏢 Empresas'!$B$3:$B$200,0)),"")</f>
      </c>
      <c r="H23" s="10">
        <f>IFERROR(INDEX('🏢 Empresas'!$D$3:$D$200,MATCH($F23,'🏢 Empresas'!$B$3:$B$200,0)),"")</f>
      </c>
      <c r="I23" s="10">
        <f>IFERROR(INDEX('🏢 Empresas'!$E$3:$E$200,MATCH($F23,'🏢 Empresas'!$B$3:$B$200,0)),"")</f>
      </c>
      <c r="J23" s="10">
        <f>IFERROR(INDEX('🏢 Empresas'!$F$3:$F$200,MATCH($F23,'🏢 Empresas'!$B$3:$B$200,0)),"")</f>
      </c>
      <c r="K23" s="9" t="s">
        <v>901</v>
      </c>
      <c r="L23" s="10">
        <f>IFERROR(INDEX('👥 Estudiantes'!$G$3:$G$200,MATCH($C23,'👥 Estudiantes'!$C$3:$C$200,0)),"")</f>
      </c>
      <c r="M23" s="10">
        <f>IFERROR(INDEX('👥 Estudiantes'!$H$3:$H$200,MATCH($C23,'👥 Estudiantes'!$C$3:$C$200,0)),"")</f>
      </c>
      <c r="N23" s="10">
        <f>IFERROR(INDEX('👥 Estudiantes'!$I$3:$I$200,MATCH($C23,'👥 Estudiantes'!$C$3:$C$200,0)),"")</f>
      </c>
      <c r="O23" s="10">
        <f>IFERROR(INDEX('👥 Estudiantes'!$J$3:$J$200,MATCH($C23,'👥 Estudiantes'!$C$3:$C$200,0)),"")</f>
      </c>
      <c r="P23" s="9" t="s">
        <v>916</v>
      </c>
    </row>
    <row r="24" spans="1:16" x14ac:dyDescent="0.25">
      <c r="A24">
        <f>IF($C24="","",ROW()-2)</f>
      </c>
      <c r="B24" s="8">
        <f>IFERROR(INDEX('👥 Estudiantes'!$B$3:$B$200,MATCH($C24,'👥 Estudiantes'!$C$3:$C$200,0)),"")</f>
      </c>
      <c r="C24" s="9" t="s">
        <v>125</v>
      </c>
      <c r="D24" s="10">
        <f>IFERROR(INDEX('👥 Estudiantes'!$D$3:$D$200,MATCH($C24,'👥 Estudiantes'!$C$3:$C$200,0)),"")</f>
      </c>
      <c r="E24" s="10">
        <f>IFERROR(INDEX('👥 Estudiantes'!$E$3:$E$200,MATCH($C24,'👥 Estudiantes'!$C$3:$C$200,0)),"")</f>
      </c>
      <c r="F24" s="9" t="s">
        <v>753</v>
      </c>
      <c r="G24" s="10">
        <f>IFERROR(INDEX('🏢 Empresas'!$C$3:$C$200,MATCH($F24,'🏢 Empresas'!$B$3:$B$200,0)),"")</f>
      </c>
      <c r="H24" s="10">
        <f>IFERROR(INDEX('🏢 Empresas'!$D$3:$D$200,MATCH($F24,'🏢 Empresas'!$B$3:$B$200,0)),"")</f>
      </c>
      <c r="I24" s="10">
        <f>IFERROR(INDEX('🏢 Empresas'!$E$3:$E$200,MATCH($F24,'🏢 Empresas'!$B$3:$B$200,0)),"")</f>
      </c>
      <c r="J24" s="10">
        <f>IFERROR(INDEX('🏢 Empresas'!$F$3:$F$200,MATCH($F24,'🏢 Empresas'!$B$3:$B$200,0)),"")</f>
      </c>
      <c r="K24" s="9" t="s">
        <v>902</v>
      </c>
      <c r="L24" s="10">
        <f>IFERROR(INDEX('👥 Estudiantes'!$G$3:$G$200,MATCH($C24,'👥 Estudiantes'!$C$3:$C$200,0)),"")</f>
      </c>
      <c r="M24" s="10">
        <f>IFERROR(INDEX('👥 Estudiantes'!$H$3:$H$200,MATCH($C24,'👥 Estudiantes'!$C$3:$C$200,0)),"")</f>
      </c>
      <c r="N24" s="10">
        <f>IFERROR(INDEX('👥 Estudiantes'!$I$3:$I$200,MATCH($C24,'👥 Estudiantes'!$C$3:$C$200,0)),"")</f>
      </c>
      <c r="O24" s="10">
        <f>IFERROR(INDEX('👥 Estudiantes'!$J$3:$J$200,MATCH($C24,'👥 Estudiantes'!$C$3:$C$200,0)),"")</f>
      </c>
      <c r="P24" s="9" t="s">
        <v>918</v>
      </c>
    </row>
    <row r="25" spans="1:16" x14ac:dyDescent="0.25">
      <c r="A25">
        <f>IF($C25="","",ROW()-2)</f>
      </c>
      <c r="B25" s="8">
        <f>IFERROR(INDEX('👥 Estudiantes'!$B$3:$B$200,MATCH($C25,'👥 Estudiantes'!$C$3:$C$200,0)),"")</f>
      </c>
      <c r="C25" s="9" t="s">
        <v>129</v>
      </c>
      <c r="D25" s="10">
        <f>IFERROR(INDEX('👥 Estudiantes'!$D$3:$D$200,MATCH($C25,'👥 Estudiantes'!$C$3:$C$200,0)),"")</f>
      </c>
      <c r="E25" s="10">
        <f>IFERROR(INDEX('👥 Estudiantes'!$E$3:$E$200,MATCH($C25,'👥 Estudiantes'!$C$3:$C$200,0)),"")</f>
      </c>
      <c r="F25" s="9" t="s">
        <v>809</v>
      </c>
      <c r="G25" s="10">
        <f>IFERROR(INDEX('🏢 Empresas'!$C$3:$C$200,MATCH($F25,'🏢 Empresas'!$B$3:$B$200,0)),"")</f>
      </c>
      <c r="H25" s="10">
        <f>IFERROR(INDEX('🏢 Empresas'!$D$3:$D$200,MATCH($F25,'🏢 Empresas'!$B$3:$B$200,0)),"")</f>
      </c>
      <c r="I25" s="10">
        <f>IFERROR(INDEX('🏢 Empresas'!$E$3:$E$200,MATCH($F25,'🏢 Empresas'!$B$3:$B$200,0)),"")</f>
      </c>
      <c r="J25" s="10">
        <f>IFERROR(INDEX('🏢 Empresas'!$F$3:$F$200,MATCH($F25,'🏢 Empresas'!$B$3:$B$200,0)),"")</f>
      </c>
      <c r="K25" s="9" t="s">
        <v>898</v>
      </c>
      <c r="L25" s="10">
        <f>IFERROR(INDEX('👥 Estudiantes'!$G$3:$G$200,MATCH($C25,'👥 Estudiantes'!$C$3:$C$200,0)),"")</f>
      </c>
      <c r="M25" s="10">
        <f>IFERROR(INDEX('👥 Estudiantes'!$H$3:$H$200,MATCH($C25,'👥 Estudiantes'!$C$3:$C$200,0)),"")</f>
      </c>
      <c r="N25" s="10">
        <f>IFERROR(INDEX('👥 Estudiantes'!$I$3:$I$200,MATCH($C25,'👥 Estudiantes'!$C$3:$C$200,0)),"")</f>
      </c>
      <c r="O25" s="10">
        <f>IFERROR(INDEX('👥 Estudiantes'!$J$3:$J$200,MATCH($C25,'👥 Estudiantes'!$C$3:$C$200,0)),"")</f>
      </c>
      <c r="P25" s="9" t="s">
        <v>919</v>
      </c>
    </row>
    <row r="26" spans="1:16" x14ac:dyDescent="0.25">
      <c r="A26">
        <f>IF($C26="","",ROW()-2)</f>
      </c>
      <c r="B26" s="8">
        <f>IFERROR(INDEX('👥 Estudiantes'!$B$3:$B$200,MATCH($C26,'👥 Estudiantes'!$C$3:$C$200,0)),"")</f>
      </c>
      <c r="C26" s="9" t="s">
        <v>133</v>
      </c>
      <c r="D26" s="10">
        <f>IFERROR(INDEX('👥 Estudiantes'!$D$3:$D$200,MATCH($C26,'👥 Estudiantes'!$C$3:$C$200,0)),"")</f>
      </c>
      <c r="E26" s="10">
        <f>IFERROR(INDEX('👥 Estudiantes'!$E$3:$E$200,MATCH($C26,'👥 Estudiantes'!$C$3:$C$200,0)),"")</f>
      </c>
      <c r="F26" s="9" t="s">
        <v>801</v>
      </c>
      <c r="G26" s="10">
        <f>IFERROR(INDEX('🏢 Empresas'!$C$3:$C$200,MATCH($F26,'🏢 Empresas'!$B$3:$B$200,0)),"")</f>
      </c>
      <c r="H26" s="10">
        <f>IFERROR(INDEX('🏢 Empresas'!$D$3:$D$200,MATCH($F26,'🏢 Empresas'!$B$3:$B$200,0)),"")</f>
      </c>
      <c r="I26" s="10">
        <f>IFERROR(INDEX('🏢 Empresas'!$E$3:$E$200,MATCH($F26,'🏢 Empresas'!$B$3:$B$200,0)),"")</f>
      </c>
      <c r="J26" s="10">
        <f>IFERROR(INDEX('🏢 Empresas'!$F$3:$F$200,MATCH($F26,'🏢 Empresas'!$B$3:$B$200,0)),"")</f>
      </c>
      <c r="K26" s="9" t="s">
        <v>902</v>
      </c>
      <c r="L26" s="10">
        <f>IFERROR(INDEX('👥 Estudiantes'!$G$3:$G$200,MATCH($C26,'👥 Estudiantes'!$C$3:$C$200,0)),"")</f>
      </c>
      <c r="M26" s="10">
        <f>IFERROR(INDEX('👥 Estudiantes'!$H$3:$H$200,MATCH($C26,'👥 Estudiantes'!$C$3:$C$200,0)),"")</f>
      </c>
      <c r="N26" s="10">
        <f>IFERROR(INDEX('👥 Estudiantes'!$I$3:$I$200,MATCH($C26,'👥 Estudiantes'!$C$3:$C$200,0)),"")</f>
      </c>
      <c r="O26" s="10">
        <f>IFERROR(INDEX('👥 Estudiantes'!$J$3:$J$200,MATCH($C26,'👥 Estudiantes'!$C$3:$C$200,0)),"")</f>
      </c>
      <c r="P26" s="9" t="s">
        <v>916</v>
      </c>
    </row>
    <row r="27" spans="1:16" x14ac:dyDescent="0.25">
      <c r="A27">
        <f>IF($C27="","",ROW()-2)</f>
      </c>
      <c r="B27" s="8">
        <f>IFERROR(INDEX('👥 Estudiantes'!$B$3:$B$200,MATCH($C27,'👥 Estudiantes'!$C$3:$C$200,0)),"")</f>
      </c>
      <c r="C27" s="9" t="s">
        <v>137</v>
      </c>
      <c r="D27" s="10">
        <f>IFERROR(INDEX('👥 Estudiantes'!$D$3:$D$200,MATCH($C27,'👥 Estudiantes'!$C$3:$C$200,0)),"")</f>
      </c>
      <c r="E27" s="10">
        <f>IFERROR(INDEX('👥 Estudiantes'!$E$3:$E$200,MATCH($C27,'👥 Estudiantes'!$C$3:$C$200,0)),"")</f>
      </c>
      <c r="F27" s="9" t="s">
        <v>883</v>
      </c>
      <c r="G27" s="10">
        <f>IFERROR(INDEX('🏢 Empresas'!$C$3:$C$200,MATCH($F27,'🏢 Empresas'!$B$3:$B$200,0)),"")</f>
      </c>
      <c r="H27" s="10">
        <f>IFERROR(INDEX('🏢 Empresas'!$D$3:$D$200,MATCH($F27,'🏢 Empresas'!$B$3:$B$200,0)),"")</f>
      </c>
      <c r="I27" s="10">
        <f>IFERROR(INDEX('🏢 Empresas'!$E$3:$E$200,MATCH($F27,'🏢 Empresas'!$B$3:$B$200,0)),"")</f>
      </c>
      <c r="J27" s="10">
        <f>IFERROR(INDEX('🏢 Empresas'!$F$3:$F$200,MATCH($F27,'🏢 Empresas'!$B$3:$B$200,0)),"")</f>
      </c>
      <c r="K27" s="9" t="s">
        <v>899</v>
      </c>
      <c r="L27" s="10">
        <f>IFERROR(INDEX('👥 Estudiantes'!$G$3:$G$200,MATCH($C27,'👥 Estudiantes'!$C$3:$C$200,0)),"")</f>
      </c>
      <c r="M27" s="10">
        <f>IFERROR(INDEX('👥 Estudiantes'!$H$3:$H$200,MATCH($C27,'👥 Estudiantes'!$C$3:$C$200,0)),"")</f>
      </c>
      <c r="N27" s="10">
        <f>IFERROR(INDEX('👥 Estudiantes'!$I$3:$I$200,MATCH($C27,'👥 Estudiantes'!$C$3:$C$200,0)),"")</f>
      </c>
      <c r="O27" s="10">
        <f>IFERROR(INDEX('👥 Estudiantes'!$J$3:$J$200,MATCH($C27,'👥 Estudiantes'!$C$3:$C$200,0)),"")</f>
      </c>
      <c r="P27" s="9" t="s">
        <v>916</v>
      </c>
    </row>
    <row r="28" spans="1:16" x14ac:dyDescent="0.25">
      <c r="A28">
        <f>IF($C28="","",ROW()-2)</f>
      </c>
      <c r="B28" s="8">
        <f>IFERROR(INDEX('👥 Estudiantes'!$B$3:$B$200,MATCH($C28,'👥 Estudiantes'!$C$3:$C$200,0)),"")</f>
      </c>
      <c r="C28" s="9" t="s">
        <v>141</v>
      </c>
      <c r="D28" s="10">
        <f>IFERROR(INDEX('👥 Estudiantes'!$D$3:$D$200,MATCH($C28,'👥 Estudiantes'!$C$3:$C$200,0)),"")</f>
      </c>
      <c r="E28" s="10">
        <f>IFERROR(INDEX('👥 Estudiantes'!$E$3:$E$200,MATCH($C28,'👥 Estudiantes'!$C$3:$C$200,0)),"")</f>
      </c>
      <c r="F28" s="9" t="s">
        <v>782</v>
      </c>
      <c r="G28" s="10">
        <f>IFERROR(INDEX('🏢 Empresas'!$C$3:$C$200,MATCH($F28,'🏢 Empresas'!$B$3:$B$200,0)),"")</f>
      </c>
      <c r="H28" s="10">
        <f>IFERROR(INDEX('🏢 Empresas'!$D$3:$D$200,MATCH($F28,'🏢 Empresas'!$B$3:$B$200,0)),"")</f>
      </c>
      <c r="I28" s="10">
        <f>IFERROR(INDEX('🏢 Empresas'!$E$3:$E$200,MATCH($F28,'🏢 Empresas'!$B$3:$B$200,0)),"")</f>
      </c>
      <c r="J28" s="10">
        <f>IFERROR(INDEX('🏢 Empresas'!$F$3:$F$200,MATCH($F28,'🏢 Empresas'!$B$3:$B$200,0)),"")</f>
      </c>
      <c r="K28" s="9" t="s">
        <v>909</v>
      </c>
      <c r="L28" s="10">
        <f>IFERROR(INDEX('👥 Estudiantes'!$G$3:$G$200,MATCH($C28,'👥 Estudiantes'!$C$3:$C$200,0)),"")</f>
      </c>
      <c r="M28" s="10">
        <f>IFERROR(INDEX('👥 Estudiantes'!$H$3:$H$200,MATCH($C28,'👥 Estudiantes'!$C$3:$C$200,0)),"")</f>
      </c>
      <c r="N28" s="10">
        <f>IFERROR(INDEX('👥 Estudiantes'!$I$3:$I$200,MATCH($C28,'👥 Estudiantes'!$C$3:$C$200,0)),"")</f>
      </c>
      <c r="O28" s="10">
        <f>IFERROR(INDEX('👥 Estudiantes'!$J$3:$J$200,MATCH($C28,'👥 Estudiantes'!$C$3:$C$200,0)),"")</f>
      </c>
      <c r="P28" s="9" t="s">
        <v>917</v>
      </c>
    </row>
    <row r="29" spans="1:16" x14ac:dyDescent="0.25">
      <c r="A29">
        <f>IF($C29="","",ROW()-2)</f>
      </c>
      <c r="B29" s="8">
        <f>IFERROR(INDEX('👥 Estudiantes'!$B$3:$B$200,MATCH($C29,'👥 Estudiantes'!$C$3:$C$200,0)),"")</f>
      </c>
      <c r="C29" s="9" t="s">
        <v>145</v>
      </c>
      <c r="D29" s="10">
        <f>IFERROR(INDEX('👥 Estudiantes'!$D$3:$D$200,MATCH($C29,'👥 Estudiantes'!$C$3:$C$200,0)),"")</f>
      </c>
      <c r="E29" s="10">
        <f>IFERROR(INDEX('👥 Estudiantes'!$E$3:$E$200,MATCH($C29,'👥 Estudiantes'!$C$3:$C$200,0)),"")</f>
      </c>
      <c r="F29" s="9" t="s">
        <v>703</v>
      </c>
      <c r="G29" s="10">
        <f>IFERROR(INDEX('🏢 Empresas'!$C$3:$C$200,MATCH($F29,'🏢 Empresas'!$B$3:$B$200,0)),"")</f>
      </c>
      <c r="H29" s="10">
        <f>IFERROR(INDEX('🏢 Empresas'!$D$3:$D$200,MATCH($F29,'🏢 Empresas'!$B$3:$B$200,0)),"")</f>
      </c>
      <c r="I29" s="10">
        <f>IFERROR(INDEX('🏢 Empresas'!$E$3:$E$200,MATCH($F29,'🏢 Empresas'!$B$3:$B$200,0)),"")</f>
      </c>
      <c r="J29" s="10">
        <f>IFERROR(INDEX('🏢 Empresas'!$F$3:$F$200,MATCH($F29,'🏢 Empresas'!$B$3:$B$200,0)),"")</f>
      </c>
      <c r="K29" s="9" t="s">
        <v>898</v>
      </c>
      <c r="L29" s="10">
        <f>IFERROR(INDEX('👥 Estudiantes'!$G$3:$G$200,MATCH($C29,'👥 Estudiantes'!$C$3:$C$200,0)),"")</f>
      </c>
      <c r="M29" s="10">
        <f>IFERROR(INDEX('👥 Estudiantes'!$H$3:$H$200,MATCH($C29,'👥 Estudiantes'!$C$3:$C$200,0)),"")</f>
      </c>
      <c r="N29" s="10">
        <f>IFERROR(INDEX('👥 Estudiantes'!$I$3:$I$200,MATCH($C29,'👥 Estudiantes'!$C$3:$C$200,0)),"")</f>
      </c>
      <c r="O29" s="10">
        <f>IFERROR(INDEX('👥 Estudiantes'!$J$3:$J$200,MATCH($C29,'👥 Estudiantes'!$C$3:$C$200,0)),"")</f>
      </c>
      <c r="P29" s="9" t="s">
        <v>921</v>
      </c>
    </row>
    <row r="30" spans="1:16" x14ac:dyDescent="0.25">
      <c r="A30">
        <f>IF($C30="","",ROW()-2)</f>
      </c>
      <c r="B30" s="8">
        <f>IFERROR(INDEX('👥 Estudiantes'!$B$3:$B$200,MATCH($C30,'👥 Estudiantes'!$C$3:$C$200,0)),"")</f>
      </c>
      <c r="C30" s="9" t="s">
        <v>149</v>
      </c>
      <c r="D30" s="10">
        <f>IFERROR(INDEX('👥 Estudiantes'!$D$3:$D$200,MATCH($C30,'👥 Estudiantes'!$C$3:$C$200,0)),"")</f>
      </c>
      <c r="E30" s="10">
        <f>IFERROR(INDEX('👥 Estudiantes'!$E$3:$E$200,MATCH($C30,'👥 Estudiantes'!$C$3:$C$200,0)),"")</f>
      </c>
      <c r="F30" s="9" t="s">
        <v>769</v>
      </c>
      <c r="G30" s="10">
        <f>IFERROR(INDEX('🏢 Empresas'!$C$3:$C$200,MATCH($F30,'🏢 Empresas'!$B$3:$B$200,0)),"")</f>
      </c>
      <c r="H30" s="10">
        <f>IFERROR(INDEX('🏢 Empresas'!$D$3:$D$200,MATCH($F30,'🏢 Empresas'!$B$3:$B$200,0)),"")</f>
      </c>
      <c r="I30" s="10">
        <f>IFERROR(INDEX('🏢 Empresas'!$E$3:$E$200,MATCH($F30,'🏢 Empresas'!$B$3:$B$200,0)),"")</f>
      </c>
      <c r="J30" s="10">
        <f>IFERROR(INDEX('🏢 Empresas'!$F$3:$F$200,MATCH($F30,'🏢 Empresas'!$B$3:$B$200,0)),"")</f>
      </c>
      <c r="K30" s="9" t="s">
        <v>904</v>
      </c>
      <c r="L30" s="10">
        <f>IFERROR(INDEX('👥 Estudiantes'!$G$3:$G$200,MATCH($C30,'👥 Estudiantes'!$C$3:$C$200,0)),"")</f>
      </c>
      <c r="M30" s="10">
        <f>IFERROR(INDEX('👥 Estudiantes'!$H$3:$H$200,MATCH($C30,'👥 Estudiantes'!$C$3:$C$200,0)),"")</f>
      </c>
      <c r="N30" s="10">
        <f>IFERROR(INDEX('👥 Estudiantes'!$I$3:$I$200,MATCH($C30,'👥 Estudiantes'!$C$3:$C$200,0)),"")</f>
      </c>
      <c r="O30" s="10">
        <f>IFERROR(INDEX('👥 Estudiantes'!$J$3:$J$200,MATCH($C30,'👥 Estudiantes'!$C$3:$C$200,0)),"")</f>
      </c>
      <c r="P30" s="9" t="s">
        <v>916</v>
      </c>
    </row>
    <row r="31" spans="1:16" x14ac:dyDescent="0.25">
      <c r="A31">
        <f>IF($C31="","",ROW()-2)</f>
      </c>
      <c r="B31" s="8">
        <f>IFERROR(INDEX('👥 Estudiantes'!$B$3:$B$200,MATCH($C31,'👥 Estudiantes'!$C$3:$C$200,0)),"")</f>
      </c>
      <c r="C31" s="9" t="s">
        <v>153</v>
      </c>
      <c r="D31" s="10">
        <f>IFERROR(INDEX('👥 Estudiantes'!$D$3:$D$200,MATCH($C31,'👥 Estudiantes'!$C$3:$C$200,0)),"")</f>
      </c>
      <c r="E31" s="10">
        <f>IFERROR(INDEX('👥 Estudiantes'!$E$3:$E$200,MATCH($C31,'👥 Estudiantes'!$C$3:$C$200,0)),"")</f>
      </c>
      <c r="F31" s="9" t="s">
        <v>890</v>
      </c>
      <c r="G31" s="10">
        <f>IFERROR(INDEX('🏢 Empresas'!$C$3:$C$200,MATCH($F31,'🏢 Empresas'!$B$3:$B$200,0)),"")</f>
      </c>
      <c r="H31" s="10">
        <f>IFERROR(INDEX('🏢 Empresas'!$D$3:$D$200,MATCH($F31,'🏢 Empresas'!$B$3:$B$200,0)),"")</f>
      </c>
      <c r="I31" s="10">
        <f>IFERROR(INDEX('🏢 Empresas'!$E$3:$E$200,MATCH($F31,'🏢 Empresas'!$B$3:$B$200,0)),"")</f>
      </c>
      <c r="J31" s="10">
        <f>IFERROR(INDEX('🏢 Empresas'!$F$3:$F$200,MATCH($F31,'🏢 Empresas'!$B$3:$B$200,0)),"")</f>
      </c>
      <c r="K31" s="9" t="s">
        <v>900</v>
      </c>
      <c r="L31" s="10">
        <f>IFERROR(INDEX('👥 Estudiantes'!$G$3:$G$200,MATCH($C31,'👥 Estudiantes'!$C$3:$C$200,0)),"")</f>
      </c>
      <c r="M31" s="10">
        <f>IFERROR(INDEX('👥 Estudiantes'!$H$3:$H$200,MATCH($C31,'👥 Estudiantes'!$C$3:$C$200,0)),"")</f>
      </c>
      <c r="N31" s="10">
        <f>IFERROR(INDEX('👥 Estudiantes'!$I$3:$I$200,MATCH($C31,'👥 Estudiantes'!$C$3:$C$200,0)),"")</f>
      </c>
      <c r="O31" s="10">
        <f>IFERROR(INDEX('👥 Estudiantes'!$J$3:$J$200,MATCH($C31,'👥 Estudiantes'!$C$3:$C$200,0)),"")</f>
      </c>
      <c r="P31" s="9" t="s">
        <v>916</v>
      </c>
    </row>
    <row r="32" spans="1:16" x14ac:dyDescent="0.25">
      <c r="A32">
        <f>IF($C32="","",ROW()-2)</f>
      </c>
      <c r="B32" s="8">
        <f>IFERROR(INDEX('👥 Estudiantes'!$B$3:$B$200,MATCH($C32,'👥 Estudiantes'!$C$3:$C$200,0)),"")</f>
      </c>
      <c r="C32" s="9" t="s">
        <v>157</v>
      </c>
      <c r="D32" s="10">
        <f>IFERROR(INDEX('👥 Estudiantes'!$D$3:$D$200,MATCH($C32,'👥 Estudiantes'!$C$3:$C$200,0)),"")</f>
      </c>
      <c r="E32" s="10">
        <f>IFERROR(INDEX('👥 Estudiantes'!$E$3:$E$200,MATCH($C32,'👥 Estudiantes'!$C$3:$C$200,0)),"")</f>
      </c>
      <c r="F32" s="9" t="s">
        <v>876</v>
      </c>
      <c r="G32" s="10">
        <f>IFERROR(INDEX('🏢 Empresas'!$C$3:$C$200,MATCH($F32,'🏢 Empresas'!$B$3:$B$200,0)),"")</f>
      </c>
      <c r="H32" s="10">
        <f>IFERROR(INDEX('🏢 Empresas'!$D$3:$D$200,MATCH($F32,'🏢 Empresas'!$B$3:$B$200,0)),"")</f>
      </c>
      <c r="I32" s="10">
        <f>IFERROR(INDEX('🏢 Empresas'!$E$3:$E$200,MATCH($F32,'🏢 Empresas'!$B$3:$B$200,0)),"")</f>
      </c>
      <c r="J32" s="10">
        <f>IFERROR(INDEX('🏢 Empresas'!$F$3:$F$200,MATCH($F32,'🏢 Empresas'!$B$3:$B$200,0)),"")</f>
      </c>
      <c r="K32" s="9" t="s">
        <v>903</v>
      </c>
      <c r="L32" s="10">
        <f>IFERROR(INDEX('👥 Estudiantes'!$G$3:$G$200,MATCH($C32,'👥 Estudiantes'!$C$3:$C$200,0)),"")</f>
      </c>
      <c r="M32" s="10">
        <f>IFERROR(INDEX('👥 Estudiantes'!$H$3:$H$200,MATCH($C32,'👥 Estudiantes'!$C$3:$C$200,0)),"")</f>
      </c>
      <c r="N32" s="10">
        <f>IFERROR(INDEX('👥 Estudiantes'!$I$3:$I$200,MATCH($C32,'👥 Estudiantes'!$C$3:$C$200,0)),"")</f>
      </c>
      <c r="O32" s="10">
        <f>IFERROR(INDEX('👥 Estudiantes'!$J$3:$J$200,MATCH($C32,'👥 Estudiantes'!$C$3:$C$200,0)),"")</f>
      </c>
      <c r="P32" s="9" t="s">
        <v>922</v>
      </c>
    </row>
    <row r="33" spans="1:16" x14ac:dyDescent="0.25">
      <c r="A33">
        <f>IF($C33="","",ROW()-2)</f>
      </c>
      <c r="B33" s="8">
        <f>IFERROR(INDEX('👥 Estudiantes'!$B$3:$B$200,MATCH($C33,'👥 Estudiantes'!$C$3:$C$200,0)),"")</f>
      </c>
      <c r="C33" s="9" t="s">
        <v>161</v>
      </c>
      <c r="D33" s="10">
        <f>IFERROR(INDEX('👥 Estudiantes'!$D$3:$D$200,MATCH($C33,'👥 Estudiantes'!$C$3:$C$200,0)),"")</f>
      </c>
      <c r="E33" s="10">
        <f>IFERROR(INDEX('👥 Estudiantes'!$E$3:$E$200,MATCH($C33,'👥 Estudiantes'!$C$3:$C$200,0)),"")</f>
      </c>
      <c r="F33" s="9" t="s">
        <v>890</v>
      </c>
      <c r="G33" s="10">
        <f>IFERROR(INDEX('🏢 Empresas'!$C$3:$C$200,MATCH($F33,'🏢 Empresas'!$B$3:$B$200,0)),"")</f>
      </c>
      <c r="H33" s="10">
        <f>IFERROR(INDEX('🏢 Empresas'!$D$3:$D$200,MATCH($F33,'🏢 Empresas'!$B$3:$B$200,0)),"")</f>
      </c>
      <c r="I33" s="10">
        <f>IFERROR(INDEX('🏢 Empresas'!$E$3:$E$200,MATCH($F33,'🏢 Empresas'!$B$3:$B$200,0)),"")</f>
      </c>
      <c r="J33" s="10">
        <f>IFERROR(INDEX('🏢 Empresas'!$F$3:$F$200,MATCH($F33,'🏢 Empresas'!$B$3:$B$200,0)),"")</f>
      </c>
      <c r="K33" s="9" t="s">
        <v>900</v>
      </c>
      <c r="L33" s="10">
        <f>IFERROR(INDEX('👥 Estudiantes'!$G$3:$G$200,MATCH($C33,'👥 Estudiantes'!$C$3:$C$200,0)),"")</f>
      </c>
      <c r="M33" s="10">
        <f>IFERROR(INDEX('👥 Estudiantes'!$H$3:$H$200,MATCH($C33,'👥 Estudiantes'!$C$3:$C$200,0)),"")</f>
      </c>
      <c r="N33" s="10">
        <f>IFERROR(INDEX('👥 Estudiantes'!$I$3:$I$200,MATCH($C33,'👥 Estudiantes'!$C$3:$C$200,0)),"")</f>
      </c>
      <c r="O33" s="10">
        <f>IFERROR(INDEX('👥 Estudiantes'!$J$3:$J$200,MATCH($C33,'👥 Estudiantes'!$C$3:$C$200,0)),"")</f>
      </c>
      <c r="P33" s="9" t="s">
        <v>918</v>
      </c>
    </row>
    <row r="34" spans="1:16" x14ac:dyDescent="0.25">
      <c r="A34">
        <f>IF($C34="","",ROW()-2)</f>
      </c>
      <c r="B34" s="8">
        <f>IFERROR(INDEX('👥 Estudiantes'!$B$3:$B$200,MATCH($C34,'👥 Estudiantes'!$C$3:$C$200,0)),"")</f>
      </c>
      <c r="C34" s="9" t="s">
        <v>165</v>
      </c>
      <c r="D34" s="10">
        <f>IFERROR(INDEX('👥 Estudiantes'!$D$3:$D$200,MATCH($C34,'👥 Estudiantes'!$C$3:$C$200,0)),"")</f>
      </c>
      <c r="E34" s="10">
        <f>IFERROR(INDEX('👥 Estudiantes'!$E$3:$E$200,MATCH($C34,'👥 Estudiantes'!$C$3:$C$200,0)),"")</f>
      </c>
      <c r="F34" s="9" t="s">
        <v>732</v>
      </c>
      <c r="G34" s="10">
        <f>IFERROR(INDEX('🏢 Empresas'!$C$3:$C$200,MATCH($F34,'🏢 Empresas'!$B$3:$B$200,0)),"")</f>
      </c>
      <c r="H34" s="10">
        <f>IFERROR(INDEX('🏢 Empresas'!$D$3:$D$200,MATCH($F34,'🏢 Empresas'!$B$3:$B$200,0)),"")</f>
      </c>
      <c r="I34" s="10">
        <f>IFERROR(INDEX('🏢 Empresas'!$E$3:$E$200,MATCH($F34,'🏢 Empresas'!$B$3:$B$200,0)),"")</f>
      </c>
      <c r="J34" s="10">
        <f>IFERROR(INDEX('🏢 Empresas'!$F$3:$F$200,MATCH($F34,'🏢 Empresas'!$B$3:$B$200,0)),"")</f>
      </c>
      <c r="K34" s="9" t="s">
        <v>901</v>
      </c>
      <c r="L34" s="10">
        <f>IFERROR(INDEX('👥 Estudiantes'!$G$3:$G$200,MATCH($C34,'👥 Estudiantes'!$C$3:$C$200,0)),"")</f>
      </c>
      <c r="M34" s="10">
        <f>IFERROR(INDEX('👥 Estudiantes'!$H$3:$H$200,MATCH($C34,'👥 Estudiantes'!$C$3:$C$200,0)),"")</f>
      </c>
      <c r="N34" s="10">
        <f>IFERROR(INDEX('👥 Estudiantes'!$I$3:$I$200,MATCH($C34,'👥 Estudiantes'!$C$3:$C$200,0)),"")</f>
      </c>
      <c r="O34" s="10">
        <f>IFERROR(INDEX('👥 Estudiantes'!$J$3:$J$200,MATCH($C34,'👥 Estudiantes'!$C$3:$C$200,0)),"")</f>
      </c>
      <c r="P34" s="9" t="s">
        <v>916</v>
      </c>
    </row>
    <row r="35" spans="1:16" x14ac:dyDescent="0.25">
      <c r="A35">
        <f>IF($C35="","",ROW()-2)</f>
      </c>
      <c r="B35" s="8">
        <f>IFERROR(INDEX('👥 Estudiantes'!$B$3:$B$200,MATCH($C35,'👥 Estudiantes'!$C$3:$C$200,0)),"")</f>
      </c>
      <c r="C35" s="9" t="s">
        <v>169</v>
      </c>
      <c r="D35" s="10">
        <f>IFERROR(INDEX('👥 Estudiantes'!$D$3:$D$200,MATCH($C35,'👥 Estudiantes'!$C$3:$C$200,0)),"")</f>
      </c>
      <c r="E35" s="10">
        <f>IFERROR(INDEX('👥 Estudiantes'!$E$3:$E$200,MATCH($C35,'👥 Estudiantes'!$C$3:$C$200,0)),"")</f>
      </c>
      <c r="F35" s="9" t="s">
        <v>890</v>
      </c>
      <c r="G35" s="10">
        <f>IFERROR(INDEX('🏢 Empresas'!$C$3:$C$200,MATCH($F35,'🏢 Empresas'!$B$3:$B$200,0)),"")</f>
      </c>
      <c r="H35" s="10">
        <f>IFERROR(INDEX('🏢 Empresas'!$D$3:$D$200,MATCH($F35,'🏢 Empresas'!$B$3:$B$200,0)),"")</f>
      </c>
      <c r="I35" s="10">
        <f>IFERROR(INDEX('🏢 Empresas'!$E$3:$E$200,MATCH($F35,'🏢 Empresas'!$B$3:$B$200,0)),"")</f>
      </c>
      <c r="J35" s="10">
        <f>IFERROR(INDEX('🏢 Empresas'!$F$3:$F$200,MATCH($F35,'🏢 Empresas'!$B$3:$B$200,0)),"")</f>
      </c>
      <c r="K35" s="9" t="s">
        <v>899</v>
      </c>
      <c r="L35" s="10">
        <f>IFERROR(INDEX('👥 Estudiantes'!$G$3:$G$200,MATCH($C35,'👥 Estudiantes'!$C$3:$C$200,0)),"")</f>
      </c>
      <c r="M35" s="10">
        <f>IFERROR(INDEX('👥 Estudiantes'!$H$3:$H$200,MATCH($C35,'👥 Estudiantes'!$C$3:$C$200,0)),"")</f>
      </c>
      <c r="N35" s="10">
        <f>IFERROR(INDEX('👥 Estudiantes'!$I$3:$I$200,MATCH($C35,'👥 Estudiantes'!$C$3:$C$200,0)),"")</f>
      </c>
      <c r="O35" s="10">
        <f>IFERROR(INDEX('👥 Estudiantes'!$J$3:$J$200,MATCH($C35,'👥 Estudiantes'!$C$3:$C$200,0)),"")</f>
      </c>
      <c r="P35" s="9" t="s">
        <v>919</v>
      </c>
    </row>
    <row r="36" spans="1:16" x14ac:dyDescent="0.25">
      <c r="A36">
        <f>IF($C36="","",ROW()-2)</f>
      </c>
      <c r="B36" s="8">
        <f>IFERROR(INDEX('👥 Estudiantes'!$B$3:$B$200,MATCH($C36,'👥 Estudiantes'!$C$3:$C$200,0)),"")</f>
      </c>
      <c r="C36" s="9" t="s">
        <v>173</v>
      </c>
      <c r="D36" s="10">
        <f>IFERROR(INDEX('👥 Estudiantes'!$D$3:$D$200,MATCH($C36,'👥 Estudiantes'!$C$3:$C$200,0)),"")</f>
      </c>
      <c r="E36" s="10">
        <f>IFERROR(INDEX('👥 Estudiantes'!$E$3:$E$200,MATCH($C36,'👥 Estudiantes'!$C$3:$C$200,0)),"")</f>
      </c>
      <c r="F36" s="9" t="s">
        <v>762</v>
      </c>
      <c r="G36" s="10">
        <f>IFERROR(INDEX('🏢 Empresas'!$C$3:$C$200,MATCH($F36,'🏢 Empresas'!$B$3:$B$200,0)),"")</f>
      </c>
      <c r="H36" s="10">
        <f>IFERROR(INDEX('🏢 Empresas'!$D$3:$D$200,MATCH($F36,'🏢 Empresas'!$B$3:$B$200,0)),"")</f>
      </c>
      <c r="I36" s="10">
        <f>IFERROR(INDEX('🏢 Empresas'!$E$3:$E$200,MATCH($F36,'🏢 Empresas'!$B$3:$B$200,0)),"")</f>
      </c>
      <c r="J36" s="10">
        <f>IFERROR(INDEX('🏢 Empresas'!$F$3:$F$200,MATCH($F36,'🏢 Empresas'!$B$3:$B$200,0)),"")</f>
      </c>
      <c r="K36" s="9" t="s">
        <v>906</v>
      </c>
      <c r="L36" s="10">
        <f>IFERROR(INDEX('👥 Estudiantes'!$G$3:$G$200,MATCH($C36,'👥 Estudiantes'!$C$3:$C$200,0)),"")</f>
      </c>
      <c r="M36" s="10">
        <f>IFERROR(INDEX('👥 Estudiantes'!$H$3:$H$200,MATCH($C36,'👥 Estudiantes'!$C$3:$C$200,0)),"")</f>
      </c>
      <c r="N36" s="10">
        <f>IFERROR(INDEX('👥 Estudiantes'!$I$3:$I$200,MATCH($C36,'👥 Estudiantes'!$C$3:$C$200,0)),"")</f>
      </c>
      <c r="O36" s="10">
        <f>IFERROR(INDEX('👥 Estudiantes'!$J$3:$J$200,MATCH($C36,'👥 Estudiantes'!$C$3:$C$200,0)),"")</f>
      </c>
      <c r="P36" s="9" t="s">
        <v>917</v>
      </c>
    </row>
    <row r="37" spans="1:16" x14ac:dyDescent="0.25">
      <c r="A37">
        <f>IF($C37="","",ROW()-2)</f>
      </c>
      <c r="B37" s="8">
        <f>IFERROR(INDEX('👥 Estudiantes'!$B$3:$B$200,MATCH($C37,'👥 Estudiantes'!$C$3:$C$200,0)),"")</f>
      </c>
      <c r="C37" s="9" t="s">
        <v>177</v>
      </c>
      <c r="D37" s="10">
        <f>IFERROR(INDEX('👥 Estudiantes'!$D$3:$D$200,MATCH($C37,'👥 Estudiantes'!$C$3:$C$200,0)),"")</f>
      </c>
      <c r="E37" s="10">
        <f>IFERROR(INDEX('👥 Estudiantes'!$E$3:$E$200,MATCH($C37,'👥 Estudiantes'!$C$3:$C$200,0)),"")</f>
      </c>
      <c r="F37" s="9" t="s">
        <v>813</v>
      </c>
      <c r="G37" s="10">
        <f>IFERROR(INDEX('🏢 Empresas'!$C$3:$C$200,MATCH($F37,'🏢 Empresas'!$B$3:$B$200,0)),"")</f>
      </c>
      <c r="H37" s="10">
        <f>IFERROR(INDEX('🏢 Empresas'!$D$3:$D$200,MATCH($F37,'🏢 Empresas'!$B$3:$B$200,0)),"")</f>
      </c>
      <c r="I37" s="10">
        <f>IFERROR(INDEX('🏢 Empresas'!$E$3:$E$200,MATCH($F37,'🏢 Empresas'!$B$3:$B$200,0)),"")</f>
      </c>
      <c r="J37" s="10">
        <f>IFERROR(INDEX('🏢 Empresas'!$F$3:$F$200,MATCH($F37,'🏢 Empresas'!$B$3:$B$200,0)),"")</f>
      </c>
      <c r="K37" s="9" t="s">
        <v>900</v>
      </c>
      <c r="L37" s="10">
        <f>IFERROR(INDEX('👥 Estudiantes'!$G$3:$G$200,MATCH($C37,'👥 Estudiantes'!$C$3:$C$200,0)),"")</f>
      </c>
      <c r="M37" s="10">
        <f>IFERROR(INDEX('👥 Estudiantes'!$H$3:$H$200,MATCH($C37,'👥 Estudiantes'!$C$3:$C$200,0)),"")</f>
      </c>
      <c r="N37" s="10">
        <f>IFERROR(INDEX('👥 Estudiantes'!$I$3:$I$200,MATCH($C37,'👥 Estudiantes'!$C$3:$C$200,0)),"")</f>
      </c>
      <c r="O37" s="10">
        <f>IFERROR(INDEX('👥 Estudiantes'!$J$3:$J$200,MATCH($C37,'👥 Estudiantes'!$C$3:$C$200,0)),"")</f>
      </c>
      <c r="P37" s="9" t="s">
        <v>919</v>
      </c>
    </row>
    <row r="38" spans="1:16" x14ac:dyDescent="0.25">
      <c r="A38">
        <f>IF($C38="","",ROW()-2)</f>
      </c>
      <c r="B38" s="8">
        <f>IFERROR(INDEX('👥 Estudiantes'!$B$3:$B$200,MATCH($C38,'👥 Estudiantes'!$C$3:$C$200,0)),"")</f>
      </c>
      <c r="C38" s="9" t="s">
        <v>181</v>
      </c>
      <c r="D38" s="10">
        <f>IFERROR(INDEX('👥 Estudiantes'!$D$3:$D$200,MATCH($C38,'👥 Estudiantes'!$C$3:$C$200,0)),"")</f>
      </c>
      <c r="E38" s="10">
        <f>IFERROR(INDEX('👥 Estudiantes'!$E$3:$E$200,MATCH($C38,'👥 Estudiantes'!$C$3:$C$200,0)),"")</f>
      </c>
      <c r="F38" s="9" t="s">
        <v>841</v>
      </c>
      <c r="G38" s="10">
        <f>IFERROR(INDEX('🏢 Empresas'!$C$3:$C$200,MATCH($F38,'🏢 Empresas'!$B$3:$B$200,0)),"")</f>
      </c>
      <c r="H38" s="10">
        <f>IFERROR(INDEX('🏢 Empresas'!$D$3:$D$200,MATCH($F38,'🏢 Empresas'!$B$3:$B$200,0)),"")</f>
      </c>
      <c r="I38" s="10">
        <f>IFERROR(INDEX('🏢 Empresas'!$E$3:$E$200,MATCH($F38,'🏢 Empresas'!$B$3:$B$200,0)),"")</f>
      </c>
      <c r="J38" s="10">
        <f>IFERROR(INDEX('🏢 Empresas'!$F$3:$F$200,MATCH($F38,'🏢 Empresas'!$B$3:$B$200,0)),"")</f>
      </c>
      <c r="K38" s="9" t="s">
        <v>905</v>
      </c>
      <c r="L38" s="10">
        <f>IFERROR(INDEX('👥 Estudiantes'!$G$3:$G$200,MATCH($C38,'👥 Estudiantes'!$C$3:$C$200,0)),"")</f>
      </c>
      <c r="M38" s="10">
        <f>IFERROR(INDEX('👥 Estudiantes'!$H$3:$H$200,MATCH($C38,'👥 Estudiantes'!$C$3:$C$200,0)),"")</f>
      </c>
      <c r="N38" s="10">
        <f>IFERROR(INDEX('👥 Estudiantes'!$I$3:$I$200,MATCH($C38,'👥 Estudiantes'!$C$3:$C$200,0)),"")</f>
      </c>
      <c r="O38" s="10">
        <f>IFERROR(INDEX('👥 Estudiantes'!$J$3:$J$200,MATCH($C38,'👥 Estudiantes'!$C$3:$C$200,0)),"")</f>
      </c>
      <c r="P38" s="9" t="s">
        <v>919</v>
      </c>
    </row>
    <row r="39" spans="1:16" x14ac:dyDescent="0.25">
      <c r="A39">
        <f>IF($C39="","",ROW()-2)</f>
      </c>
      <c r="B39" s="8">
        <f>IFERROR(INDEX('👥 Estudiantes'!$B$3:$B$200,MATCH($C39,'👥 Estudiantes'!$C$3:$C$200,0)),"")</f>
      </c>
      <c r="C39" s="9" t="s">
        <v>185</v>
      </c>
      <c r="D39" s="10">
        <f>IFERROR(INDEX('👥 Estudiantes'!$D$3:$D$200,MATCH($C39,'👥 Estudiantes'!$C$3:$C$200,0)),"")</f>
      </c>
      <c r="E39" s="10">
        <f>IFERROR(INDEX('👥 Estudiantes'!$E$3:$E$200,MATCH($C39,'👥 Estudiantes'!$C$3:$C$200,0)),"")</f>
      </c>
      <c r="F39" s="9" t="s">
        <v>599</v>
      </c>
      <c r="G39" s="10">
        <f>IFERROR(INDEX('🏢 Empresas'!$C$3:$C$200,MATCH($F39,'🏢 Empresas'!$B$3:$B$200,0)),"")</f>
      </c>
      <c r="H39" s="10">
        <f>IFERROR(INDEX('🏢 Empresas'!$D$3:$D$200,MATCH($F39,'🏢 Empresas'!$B$3:$B$200,0)),"")</f>
      </c>
      <c r="I39" s="10">
        <f>IFERROR(INDEX('🏢 Empresas'!$E$3:$E$200,MATCH($F39,'🏢 Empresas'!$B$3:$B$200,0)),"")</f>
      </c>
      <c r="J39" s="10">
        <f>IFERROR(INDEX('🏢 Empresas'!$F$3:$F$200,MATCH($F39,'🏢 Empresas'!$B$3:$B$200,0)),"")</f>
      </c>
      <c r="K39" s="9" t="s">
        <v>898</v>
      </c>
      <c r="L39" s="10">
        <f>IFERROR(INDEX('👥 Estudiantes'!$G$3:$G$200,MATCH($C39,'👥 Estudiantes'!$C$3:$C$200,0)),"")</f>
      </c>
      <c r="M39" s="10">
        <f>IFERROR(INDEX('👥 Estudiantes'!$H$3:$H$200,MATCH($C39,'👥 Estudiantes'!$C$3:$C$200,0)),"")</f>
      </c>
      <c r="N39" s="10">
        <f>IFERROR(INDEX('👥 Estudiantes'!$I$3:$I$200,MATCH($C39,'👥 Estudiantes'!$C$3:$C$200,0)),"")</f>
      </c>
      <c r="O39" s="10">
        <f>IFERROR(INDEX('👥 Estudiantes'!$J$3:$J$200,MATCH($C39,'👥 Estudiantes'!$C$3:$C$200,0)),"")</f>
      </c>
      <c r="P39" s="9" t="s">
        <v>918</v>
      </c>
    </row>
    <row r="40" spans="1:16" x14ac:dyDescent="0.25">
      <c r="A40">
        <f>IF($C40="","",ROW()-2)</f>
      </c>
      <c r="B40" s="8">
        <f>IFERROR(INDEX('👥 Estudiantes'!$B$3:$B$200,MATCH($C40,'👥 Estudiantes'!$C$3:$C$200,0)),"")</f>
      </c>
      <c r="C40" s="9" t="s">
        <v>189</v>
      </c>
      <c r="D40" s="10">
        <f>IFERROR(INDEX('👥 Estudiantes'!$D$3:$D$200,MATCH($C40,'👥 Estudiantes'!$C$3:$C$200,0)),"")</f>
      </c>
      <c r="E40" s="10">
        <f>IFERROR(INDEX('👥 Estudiantes'!$E$3:$E$200,MATCH($C40,'👥 Estudiantes'!$C$3:$C$200,0)),"")</f>
      </c>
      <c r="F40" s="9" t="s">
        <v>708</v>
      </c>
      <c r="G40" s="10">
        <f>IFERROR(INDEX('🏢 Empresas'!$C$3:$C$200,MATCH($F40,'🏢 Empresas'!$B$3:$B$200,0)),"")</f>
      </c>
      <c r="H40" s="10">
        <f>IFERROR(INDEX('🏢 Empresas'!$D$3:$D$200,MATCH($F40,'🏢 Empresas'!$B$3:$B$200,0)),"")</f>
      </c>
      <c r="I40" s="10">
        <f>IFERROR(INDEX('🏢 Empresas'!$E$3:$E$200,MATCH($F40,'🏢 Empresas'!$B$3:$B$200,0)),"")</f>
      </c>
      <c r="J40" s="10">
        <f>IFERROR(INDEX('🏢 Empresas'!$F$3:$F$200,MATCH($F40,'🏢 Empresas'!$B$3:$B$200,0)),"")</f>
      </c>
      <c r="K40" s="9" t="s">
        <v>902</v>
      </c>
      <c r="L40" s="10">
        <f>IFERROR(INDEX('👥 Estudiantes'!$G$3:$G$200,MATCH($C40,'👥 Estudiantes'!$C$3:$C$200,0)),"")</f>
      </c>
      <c r="M40" s="10">
        <f>IFERROR(INDEX('👥 Estudiantes'!$H$3:$H$200,MATCH($C40,'👥 Estudiantes'!$C$3:$C$200,0)),"")</f>
      </c>
      <c r="N40" s="10">
        <f>IFERROR(INDEX('👥 Estudiantes'!$I$3:$I$200,MATCH($C40,'👥 Estudiantes'!$C$3:$C$200,0)),"")</f>
      </c>
      <c r="O40" s="10">
        <f>IFERROR(INDEX('👥 Estudiantes'!$J$3:$J$200,MATCH($C40,'👥 Estudiantes'!$C$3:$C$200,0)),"")</f>
      </c>
      <c r="P40" s="9" t="s">
        <v>916</v>
      </c>
    </row>
    <row r="41" spans="1:16" x14ac:dyDescent="0.25">
      <c r="A41">
        <f>IF($C41="","",ROW()-2)</f>
      </c>
      <c r="B41" s="8">
        <f>IFERROR(INDEX('👥 Estudiantes'!$B$3:$B$200,MATCH($C41,'👥 Estudiantes'!$C$3:$C$200,0)),"")</f>
      </c>
      <c r="C41" s="9" t="s">
        <v>193</v>
      </c>
      <c r="D41" s="10">
        <f>IFERROR(INDEX('👥 Estudiantes'!$D$3:$D$200,MATCH($C41,'👥 Estudiantes'!$C$3:$C$200,0)),"")</f>
      </c>
      <c r="E41" s="10">
        <f>IFERROR(INDEX('👥 Estudiantes'!$E$3:$E$200,MATCH($C41,'👥 Estudiantes'!$C$3:$C$200,0)),"")</f>
      </c>
      <c r="F41" s="9" t="s">
        <v>816</v>
      </c>
      <c r="G41" s="10">
        <f>IFERROR(INDEX('🏢 Empresas'!$C$3:$C$200,MATCH($F41,'🏢 Empresas'!$B$3:$B$200,0)),"")</f>
      </c>
      <c r="H41" s="10">
        <f>IFERROR(INDEX('🏢 Empresas'!$D$3:$D$200,MATCH($F41,'🏢 Empresas'!$B$3:$B$200,0)),"")</f>
      </c>
      <c r="I41" s="10">
        <f>IFERROR(INDEX('🏢 Empresas'!$E$3:$E$200,MATCH($F41,'🏢 Empresas'!$B$3:$B$200,0)),"")</f>
      </c>
      <c r="J41" s="10">
        <f>IFERROR(INDEX('🏢 Empresas'!$F$3:$F$200,MATCH($F41,'🏢 Empresas'!$B$3:$B$200,0)),"")</f>
      </c>
      <c r="K41" s="9" t="s">
        <v>899</v>
      </c>
      <c r="L41" s="10">
        <f>IFERROR(INDEX('👥 Estudiantes'!$G$3:$G$200,MATCH($C41,'👥 Estudiantes'!$C$3:$C$200,0)),"")</f>
      </c>
      <c r="M41" s="10">
        <f>IFERROR(INDEX('👥 Estudiantes'!$H$3:$H$200,MATCH($C41,'👥 Estudiantes'!$C$3:$C$200,0)),"")</f>
      </c>
      <c r="N41" s="10">
        <f>IFERROR(INDEX('👥 Estudiantes'!$I$3:$I$200,MATCH($C41,'👥 Estudiantes'!$C$3:$C$200,0)),"")</f>
      </c>
      <c r="O41" s="10">
        <f>IFERROR(INDEX('👥 Estudiantes'!$J$3:$J$200,MATCH($C41,'👥 Estudiantes'!$C$3:$C$200,0)),"")</f>
      </c>
      <c r="P41" s="9" t="s">
        <v>921</v>
      </c>
    </row>
    <row r="42" spans="1:16" x14ac:dyDescent="0.25">
      <c r="A42">
        <f>IF($C42="","",ROW()-2)</f>
      </c>
      <c r="B42" s="8">
        <f>IFERROR(INDEX('👥 Estudiantes'!$B$3:$B$200,MATCH($C42,'👥 Estudiantes'!$C$3:$C$200,0)),"")</f>
      </c>
      <c r="C42" s="9" t="s">
        <v>197</v>
      </c>
      <c r="D42" s="10">
        <f>IFERROR(INDEX('👥 Estudiantes'!$D$3:$D$200,MATCH($C42,'👥 Estudiantes'!$C$3:$C$200,0)),"")</f>
      </c>
      <c r="E42" s="10">
        <f>IFERROR(INDEX('👥 Estudiantes'!$E$3:$E$200,MATCH($C42,'👥 Estudiantes'!$C$3:$C$200,0)),"")</f>
      </c>
      <c r="F42" s="9" t="s">
        <v>735</v>
      </c>
      <c r="G42" s="10">
        <f>IFERROR(INDEX('🏢 Empresas'!$C$3:$C$200,MATCH($F42,'🏢 Empresas'!$B$3:$B$200,0)),"")</f>
      </c>
      <c r="H42" s="10">
        <f>IFERROR(INDEX('🏢 Empresas'!$D$3:$D$200,MATCH($F42,'🏢 Empresas'!$B$3:$B$200,0)),"")</f>
      </c>
      <c r="I42" s="10">
        <f>IFERROR(INDEX('🏢 Empresas'!$E$3:$E$200,MATCH($F42,'🏢 Empresas'!$B$3:$B$200,0)),"")</f>
      </c>
      <c r="J42" s="10">
        <f>IFERROR(INDEX('🏢 Empresas'!$F$3:$F$200,MATCH($F42,'🏢 Empresas'!$B$3:$B$200,0)),"")</f>
      </c>
      <c r="K42" s="9" t="s">
        <v>908</v>
      </c>
      <c r="L42" s="10">
        <f>IFERROR(INDEX('👥 Estudiantes'!$G$3:$G$200,MATCH($C42,'👥 Estudiantes'!$C$3:$C$200,0)),"")</f>
      </c>
      <c r="M42" s="10">
        <f>IFERROR(INDEX('👥 Estudiantes'!$H$3:$H$200,MATCH($C42,'👥 Estudiantes'!$C$3:$C$200,0)),"")</f>
      </c>
      <c r="N42" s="10">
        <f>IFERROR(INDEX('👥 Estudiantes'!$I$3:$I$200,MATCH($C42,'👥 Estudiantes'!$C$3:$C$200,0)),"")</f>
      </c>
      <c r="O42" s="10">
        <f>IFERROR(INDEX('👥 Estudiantes'!$J$3:$J$200,MATCH($C42,'👥 Estudiantes'!$C$3:$C$200,0)),"")</f>
      </c>
      <c r="P42" s="9" t="s">
        <v>916</v>
      </c>
    </row>
    <row r="43" spans="1:16" x14ac:dyDescent="0.25">
      <c r="A43">
        <f>IF($C43="","",ROW()-2)</f>
      </c>
      <c r="B43" s="8">
        <f>IFERROR(INDEX('👥 Estudiantes'!$B$3:$B$200,MATCH($C43,'👥 Estudiantes'!$C$3:$C$200,0)),"")</f>
      </c>
      <c r="C43" s="9" t="s">
        <v>201</v>
      </c>
      <c r="D43" s="10">
        <f>IFERROR(INDEX('👥 Estudiantes'!$D$3:$D$200,MATCH($C43,'👥 Estudiantes'!$C$3:$C$200,0)),"")</f>
      </c>
      <c r="E43" s="10">
        <f>IFERROR(INDEX('👥 Estudiantes'!$E$3:$E$200,MATCH($C43,'👥 Estudiantes'!$C$3:$C$200,0)),"")</f>
      </c>
      <c r="F43" s="9" t="s">
        <v>785</v>
      </c>
      <c r="G43" s="10">
        <f>IFERROR(INDEX('🏢 Empresas'!$C$3:$C$200,MATCH($F43,'🏢 Empresas'!$B$3:$B$200,0)),"")</f>
      </c>
      <c r="H43" s="10">
        <f>IFERROR(INDEX('🏢 Empresas'!$D$3:$D$200,MATCH($F43,'🏢 Empresas'!$B$3:$B$200,0)),"")</f>
      </c>
      <c r="I43" s="10">
        <f>IFERROR(INDEX('🏢 Empresas'!$E$3:$E$200,MATCH($F43,'🏢 Empresas'!$B$3:$B$200,0)),"")</f>
      </c>
      <c r="J43" s="10">
        <f>IFERROR(INDEX('🏢 Empresas'!$F$3:$F$200,MATCH($F43,'🏢 Empresas'!$B$3:$B$200,0)),"")</f>
      </c>
      <c r="K43" s="9" t="s">
        <v>900</v>
      </c>
      <c r="L43" s="10">
        <f>IFERROR(INDEX('👥 Estudiantes'!$G$3:$G$200,MATCH($C43,'👥 Estudiantes'!$C$3:$C$200,0)),"")</f>
      </c>
      <c r="M43" s="10">
        <f>IFERROR(INDEX('👥 Estudiantes'!$H$3:$H$200,MATCH($C43,'👥 Estudiantes'!$C$3:$C$200,0)),"")</f>
      </c>
      <c r="N43" s="10">
        <f>IFERROR(INDEX('👥 Estudiantes'!$I$3:$I$200,MATCH($C43,'👥 Estudiantes'!$C$3:$C$200,0)),"")</f>
      </c>
      <c r="O43" s="10">
        <f>IFERROR(INDEX('👥 Estudiantes'!$J$3:$J$200,MATCH($C43,'👥 Estudiantes'!$C$3:$C$200,0)),"")</f>
      </c>
      <c r="P43" s="9" t="s">
        <v>916</v>
      </c>
    </row>
    <row r="44" spans="1:16" x14ac:dyDescent="0.25">
      <c r="A44">
        <f>IF($C44="","",ROW()-2)</f>
      </c>
      <c r="B44" s="8">
        <f>IFERROR(INDEX('👥 Estudiantes'!$B$3:$B$200,MATCH($C44,'👥 Estudiantes'!$C$3:$C$200,0)),"")</f>
      </c>
      <c r="C44" s="9" t="s">
        <v>205</v>
      </c>
      <c r="D44" s="10">
        <f>IFERROR(INDEX('👥 Estudiantes'!$D$3:$D$200,MATCH($C44,'👥 Estudiantes'!$C$3:$C$200,0)),"")</f>
      </c>
      <c r="E44" s="10">
        <f>IFERROR(INDEX('👥 Estudiantes'!$E$3:$E$200,MATCH($C44,'👥 Estudiantes'!$C$3:$C$200,0)),"")</f>
      </c>
      <c r="F44" s="9" t="s">
        <v>816</v>
      </c>
      <c r="G44" s="10">
        <f>IFERROR(INDEX('🏢 Empresas'!$C$3:$C$200,MATCH($F44,'🏢 Empresas'!$B$3:$B$200,0)),"")</f>
      </c>
      <c r="H44" s="10">
        <f>IFERROR(INDEX('🏢 Empresas'!$D$3:$D$200,MATCH($F44,'🏢 Empresas'!$B$3:$B$200,0)),"")</f>
      </c>
      <c r="I44" s="10">
        <f>IFERROR(INDEX('🏢 Empresas'!$E$3:$E$200,MATCH($F44,'🏢 Empresas'!$B$3:$B$200,0)),"")</f>
      </c>
      <c r="J44" s="10">
        <f>IFERROR(INDEX('🏢 Empresas'!$F$3:$F$200,MATCH($F44,'🏢 Empresas'!$B$3:$B$200,0)),"")</f>
      </c>
      <c r="K44" s="9" t="s">
        <v>899</v>
      </c>
      <c r="L44" s="10">
        <f>IFERROR(INDEX('👥 Estudiantes'!$G$3:$G$200,MATCH($C44,'👥 Estudiantes'!$C$3:$C$200,0)),"")</f>
      </c>
      <c r="M44" s="10">
        <f>IFERROR(INDEX('👥 Estudiantes'!$H$3:$H$200,MATCH($C44,'👥 Estudiantes'!$C$3:$C$200,0)),"")</f>
      </c>
      <c r="N44" s="10">
        <f>IFERROR(INDEX('👥 Estudiantes'!$I$3:$I$200,MATCH($C44,'👥 Estudiantes'!$C$3:$C$200,0)),"")</f>
      </c>
      <c r="O44" s="10">
        <f>IFERROR(INDEX('👥 Estudiantes'!$J$3:$J$200,MATCH($C44,'👥 Estudiantes'!$C$3:$C$200,0)),"")</f>
      </c>
      <c r="P44" s="9" t="s">
        <v>921</v>
      </c>
    </row>
    <row r="45" spans="1:16" x14ac:dyDescent="0.25">
      <c r="A45">
        <f>IF($C45="","",ROW()-2)</f>
      </c>
      <c r="B45" s="8">
        <f>IFERROR(INDEX('👥 Estudiantes'!$B$3:$B$200,MATCH($C45,'👥 Estudiantes'!$C$3:$C$200,0)),"")</f>
      </c>
      <c r="C45" s="9" t="s">
        <v>209</v>
      </c>
      <c r="D45" s="10">
        <f>IFERROR(INDEX('👥 Estudiantes'!$D$3:$D$200,MATCH($C45,'👥 Estudiantes'!$C$3:$C$200,0)),"")</f>
      </c>
      <c r="E45" s="10">
        <f>IFERROR(INDEX('👥 Estudiantes'!$E$3:$E$200,MATCH($C45,'👥 Estudiantes'!$C$3:$C$200,0)),"")</f>
      </c>
      <c r="F45" s="9" t="s">
        <v>640</v>
      </c>
      <c r="G45" s="10">
        <f>IFERROR(INDEX('🏢 Empresas'!$C$3:$C$200,MATCH($F45,'🏢 Empresas'!$B$3:$B$200,0)),"")</f>
      </c>
      <c r="H45" s="10">
        <f>IFERROR(INDEX('🏢 Empresas'!$D$3:$D$200,MATCH($F45,'🏢 Empresas'!$B$3:$B$200,0)),"")</f>
      </c>
      <c r="I45" s="10">
        <f>IFERROR(INDEX('🏢 Empresas'!$E$3:$E$200,MATCH($F45,'🏢 Empresas'!$B$3:$B$200,0)),"")</f>
      </c>
      <c r="J45" s="10">
        <f>IFERROR(INDEX('🏢 Empresas'!$F$3:$F$200,MATCH($F45,'🏢 Empresas'!$B$3:$B$200,0)),"")</f>
      </c>
      <c r="K45" s="9" t="s">
        <v>899</v>
      </c>
      <c r="L45" s="10">
        <f>IFERROR(INDEX('👥 Estudiantes'!$G$3:$G$200,MATCH($C45,'👥 Estudiantes'!$C$3:$C$200,0)),"")</f>
      </c>
      <c r="M45" s="10">
        <f>IFERROR(INDEX('👥 Estudiantes'!$H$3:$H$200,MATCH($C45,'👥 Estudiantes'!$C$3:$C$200,0)),"")</f>
      </c>
      <c r="N45" s="10">
        <f>IFERROR(INDEX('👥 Estudiantes'!$I$3:$I$200,MATCH($C45,'👥 Estudiantes'!$C$3:$C$200,0)),"")</f>
      </c>
      <c r="O45" s="10">
        <f>IFERROR(INDEX('👥 Estudiantes'!$J$3:$J$200,MATCH($C45,'👥 Estudiantes'!$C$3:$C$200,0)),"")</f>
      </c>
      <c r="P45" s="9" t="s">
        <v>919</v>
      </c>
    </row>
    <row r="46" spans="1:16" x14ac:dyDescent="0.25">
      <c r="A46">
        <f>IF($C46="","",ROW()-2)</f>
      </c>
      <c r="B46" s="8">
        <f>IFERROR(INDEX('👥 Estudiantes'!$B$3:$B$200,MATCH($C46,'👥 Estudiantes'!$C$3:$C$200,0)),"")</f>
      </c>
      <c r="C46" s="9" t="s">
        <v>213</v>
      </c>
      <c r="D46" s="10">
        <f>IFERROR(INDEX('👥 Estudiantes'!$D$3:$D$200,MATCH($C46,'👥 Estudiantes'!$C$3:$C$200,0)),"")</f>
      </c>
      <c r="E46" s="10">
        <f>IFERROR(INDEX('👥 Estudiantes'!$E$3:$E$200,MATCH($C46,'👥 Estudiantes'!$C$3:$C$200,0)),"")</f>
      </c>
      <c r="F46" s="9" t="s">
        <v>723</v>
      </c>
      <c r="G46" s="10">
        <f>IFERROR(INDEX('🏢 Empresas'!$C$3:$C$200,MATCH($F46,'🏢 Empresas'!$B$3:$B$200,0)),"")</f>
      </c>
      <c r="H46" s="10">
        <f>IFERROR(INDEX('🏢 Empresas'!$D$3:$D$200,MATCH($F46,'🏢 Empresas'!$B$3:$B$200,0)),"")</f>
      </c>
      <c r="I46" s="10">
        <f>IFERROR(INDEX('🏢 Empresas'!$E$3:$E$200,MATCH($F46,'🏢 Empresas'!$B$3:$B$200,0)),"")</f>
      </c>
      <c r="J46" s="10">
        <f>IFERROR(INDEX('🏢 Empresas'!$F$3:$F$200,MATCH($F46,'🏢 Empresas'!$B$3:$B$200,0)),"")</f>
      </c>
      <c r="K46" s="9" t="s">
        <v>901</v>
      </c>
      <c r="L46" s="10">
        <f>IFERROR(INDEX('👥 Estudiantes'!$G$3:$G$200,MATCH($C46,'👥 Estudiantes'!$C$3:$C$200,0)),"")</f>
      </c>
      <c r="M46" s="10">
        <f>IFERROR(INDEX('👥 Estudiantes'!$H$3:$H$200,MATCH($C46,'👥 Estudiantes'!$C$3:$C$200,0)),"")</f>
      </c>
      <c r="N46" s="10">
        <f>IFERROR(INDEX('👥 Estudiantes'!$I$3:$I$200,MATCH($C46,'👥 Estudiantes'!$C$3:$C$200,0)),"")</f>
      </c>
      <c r="O46" s="10">
        <f>IFERROR(INDEX('👥 Estudiantes'!$J$3:$J$200,MATCH($C46,'👥 Estudiantes'!$C$3:$C$200,0)),"")</f>
      </c>
      <c r="P46" s="9" t="s">
        <v>916</v>
      </c>
    </row>
    <row r="47" spans="1:16" x14ac:dyDescent="0.25">
      <c r="A47">
        <f>IF($C47="","",ROW()-2)</f>
      </c>
      <c r="B47" s="8">
        <f>IFERROR(INDEX('👥 Estudiantes'!$B$3:$B$200,MATCH($C47,'👥 Estudiantes'!$C$3:$C$200,0)),"")</f>
      </c>
      <c r="C47" s="9" t="s">
        <v>217</v>
      </c>
      <c r="D47" s="10">
        <f>IFERROR(INDEX('👥 Estudiantes'!$D$3:$D$200,MATCH($C47,'👥 Estudiantes'!$C$3:$C$200,0)),"")</f>
      </c>
      <c r="E47" s="10">
        <f>IFERROR(INDEX('👥 Estudiantes'!$E$3:$E$200,MATCH($C47,'👥 Estudiantes'!$C$3:$C$200,0)),"")</f>
      </c>
      <c r="F47" s="9" t="s">
        <v>640</v>
      </c>
      <c r="G47" s="10">
        <f>IFERROR(INDEX('🏢 Empresas'!$C$3:$C$200,MATCH($F47,'🏢 Empresas'!$B$3:$B$200,0)),"")</f>
      </c>
      <c r="H47" s="10">
        <f>IFERROR(INDEX('🏢 Empresas'!$D$3:$D$200,MATCH($F47,'🏢 Empresas'!$B$3:$B$200,0)),"")</f>
      </c>
      <c r="I47" s="10">
        <f>IFERROR(INDEX('🏢 Empresas'!$E$3:$E$200,MATCH($F47,'🏢 Empresas'!$B$3:$B$200,0)),"")</f>
      </c>
      <c r="J47" s="10">
        <f>IFERROR(INDEX('🏢 Empresas'!$F$3:$F$200,MATCH($F47,'🏢 Empresas'!$B$3:$B$200,0)),"")</f>
      </c>
      <c r="K47" s="9" t="s">
        <v>899</v>
      </c>
      <c r="L47" s="10">
        <f>IFERROR(INDEX('👥 Estudiantes'!$G$3:$G$200,MATCH($C47,'👥 Estudiantes'!$C$3:$C$200,0)),"")</f>
      </c>
      <c r="M47" s="10">
        <f>IFERROR(INDEX('👥 Estudiantes'!$H$3:$H$200,MATCH($C47,'👥 Estudiantes'!$C$3:$C$200,0)),"")</f>
      </c>
      <c r="N47" s="10">
        <f>IFERROR(INDEX('👥 Estudiantes'!$I$3:$I$200,MATCH($C47,'👥 Estudiantes'!$C$3:$C$200,0)),"")</f>
      </c>
      <c r="O47" s="10">
        <f>IFERROR(INDEX('👥 Estudiantes'!$J$3:$J$200,MATCH($C47,'👥 Estudiantes'!$C$3:$C$200,0)),"")</f>
      </c>
      <c r="P47" s="9" t="s">
        <v>918</v>
      </c>
    </row>
    <row r="48" spans="1:16" x14ac:dyDescent="0.25">
      <c r="A48">
        <f>IF($C48="","",ROW()-2)</f>
      </c>
      <c r="B48" s="8">
        <f>IFERROR(INDEX('👥 Estudiantes'!$B$3:$B$200,MATCH($C48,'👥 Estudiantes'!$C$3:$C$200,0)),"")</f>
      </c>
      <c r="C48" s="9" t="s">
        <v>221</v>
      </c>
      <c r="D48" s="10">
        <f>IFERROR(INDEX('👥 Estudiantes'!$D$3:$D$200,MATCH($C48,'👥 Estudiantes'!$C$3:$C$200,0)),"")</f>
      </c>
      <c r="E48" s="10">
        <f>IFERROR(INDEX('👥 Estudiantes'!$E$3:$E$200,MATCH($C48,'👥 Estudiantes'!$C$3:$C$200,0)),"")</f>
      </c>
      <c r="F48" s="9" t="s">
        <v>816</v>
      </c>
      <c r="G48" s="10">
        <f>IFERROR(INDEX('🏢 Empresas'!$C$3:$C$200,MATCH($F48,'🏢 Empresas'!$B$3:$B$200,0)),"")</f>
      </c>
      <c r="H48" s="10">
        <f>IFERROR(INDEX('🏢 Empresas'!$D$3:$D$200,MATCH($F48,'🏢 Empresas'!$B$3:$B$200,0)),"")</f>
      </c>
      <c r="I48" s="10">
        <f>IFERROR(INDEX('🏢 Empresas'!$E$3:$E$200,MATCH($F48,'🏢 Empresas'!$B$3:$B$200,0)),"")</f>
      </c>
      <c r="J48" s="10">
        <f>IFERROR(INDEX('🏢 Empresas'!$F$3:$F$200,MATCH($F48,'🏢 Empresas'!$B$3:$B$200,0)),"")</f>
      </c>
      <c r="K48" s="9" t="s">
        <v>899</v>
      </c>
      <c r="L48" s="10">
        <f>IFERROR(INDEX('👥 Estudiantes'!$G$3:$G$200,MATCH($C48,'👥 Estudiantes'!$C$3:$C$200,0)),"")</f>
      </c>
      <c r="M48" s="10">
        <f>IFERROR(INDEX('👥 Estudiantes'!$H$3:$H$200,MATCH($C48,'👥 Estudiantes'!$C$3:$C$200,0)),"")</f>
      </c>
      <c r="N48" s="10">
        <f>IFERROR(INDEX('👥 Estudiantes'!$I$3:$I$200,MATCH($C48,'👥 Estudiantes'!$C$3:$C$200,0)),"")</f>
      </c>
      <c r="O48" s="10">
        <f>IFERROR(INDEX('👥 Estudiantes'!$J$3:$J$200,MATCH($C48,'👥 Estudiantes'!$C$3:$C$200,0)),"")</f>
      </c>
      <c r="P48" s="9" t="s">
        <v>916</v>
      </c>
    </row>
    <row r="49" spans="1:16" x14ac:dyDescent="0.25">
      <c r="A49">
        <f>IF($C49="","",ROW()-2)</f>
      </c>
      <c r="B49" s="8">
        <f>IFERROR(INDEX('👥 Estudiantes'!$B$3:$B$200,MATCH($C49,'👥 Estudiantes'!$C$3:$C$200,0)),"")</f>
      </c>
      <c r="C49" s="9" t="s">
        <v>225</v>
      </c>
      <c r="D49" s="10">
        <f>IFERROR(INDEX('👥 Estudiantes'!$D$3:$D$200,MATCH($C49,'👥 Estudiantes'!$C$3:$C$200,0)),"")</f>
      </c>
      <c r="E49" s="10">
        <f>IFERROR(INDEX('👥 Estudiantes'!$E$3:$E$200,MATCH($C49,'👥 Estudiantes'!$C$3:$C$200,0)),"")</f>
      </c>
      <c r="F49" s="9" t="s">
        <v>735</v>
      </c>
      <c r="G49" s="10">
        <f>IFERROR(INDEX('🏢 Empresas'!$C$3:$C$200,MATCH($F49,'🏢 Empresas'!$B$3:$B$200,0)),"")</f>
      </c>
      <c r="H49" s="10">
        <f>IFERROR(INDEX('🏢 Empresas'!$D$3:$D$200,MATCH($F49,'🏢 Empresas'!$B$3:$B$200,0)),"")</f>
      </c>
      <c r="I49" s="10">
        <f>IFERROR(INDEX('🏢 Empresas'!$E$3:$E$200,MATCH($F49,'🏢 Empresas'!$B$3:$B$200,0)),"")</f>
      </c>
      <c r="J49" s="10">
        <f>IFERROR(INDEX('🏢 Empresas'!$F$3:$F$200,MATCH($F49,'🏢 Empresas'!$B$3:$B$200,0)),"")</f>
      </c>
      <c r="K49" s="9" t="s">
        <v>898</v>
      </c>
      <c r="L49" s="10">
        <f>IFERROR(INDEX('👥 Estudiantes'!$G$3:$G$200,MATCH($C49,'👥 Estudiantes'!$C$3:$C$200,0)),"")</f>
      </c>
      <c r="M49" s="10">
        <f>IFERROR(INDEX('👥 Estudiantes'!$H$3:$H$200,MATCH($C49,'👥 Estudiantes'!$C$3:$C$200,0)),"")</f>
      </c>
      <c r="N49" s="10">
        <f>IFERROR(INDEX('👥 Estudiantes'!$I$3:$I$200,MATCH($C49,'👥 Estudiantes'!$C$3:$C$200,0)),"")</f>
      </c>
      <c r="O49" s="10">
        <f>IFERROR(INDEX('👥 Estudiantes'!$J$3:$J$200,MATCH($C49,'👥 Estudiantes'!$C$3:$C$200,0)),"")</f>
      </c>
      <c r="P49" s="9" t="s">
        <v>920</v>
      </c>
    </row>
    <row r="50" spans="1:16" x14ac:dyDescent="0.25">
      <c r="A50">
        <f>IF($C50="","",ROW()-2)</f>
      </c>
      <c r="B50" s="8">
        <f>IFERROR(INDEX('👥 Estudiantes'!$B$3:$B$200,MATCH($C50,'👥 Estudiantes'!$C$3:$C$200,0)),"")</f>
      </c>
      <c r="C50" s="9" t="s">
        <v>229</v>
      </c>
      <c r="D50" s="10">
        <f>IFERROR(INDEX('👥 Estudiantes'!$D$3:$D$200,MATCH($C50,'👥 Estudiantes'!$C$3:$C$200,0)),"")</f>
      </c>
      <c r="E50" s="10">
        <f>IFERROR(INDEX('👥 Estudiantes'!$E$3:$E$200,MATCH($C50,'👥 Estudiantes'!$C$3:$C$200,0)),"")</f>
      </c>
      <c r="F50" s="9" t="s">
        <v>769</v>
      </c>
      <c r="G50" s="10">
        <f>IFERROR(INDEX('🏢 Empresas'!$C$3:$C$200,MATCH($F50,'🏢 Empresas'!$B$3:$B$200,0)),"")</f>
      </c>
      <c r="H50" s="10">
        <f>IFERROR(INDEX('🏢 Empresas'!$D$3:$D$200,MATCH($F50,'🏢 Empresas'!$B$3:$B$200,0)),"")</f>
      </c>
      <c r="I50" s="10">
        <f>IFERROR(INDEX('🏢 Empresas'!$E$3:$E$200,MATCH($F50,'🏢 Empresas'!$B$3:$B$200,0)),"")</f>
      </c>
      <c r="J50" s="10">
        <f>IFERROR(INDEX('🏢 Empresas'!$F$3:$F$200,MATCH($F50,'🏢 Empresas'!$B$3:$B$200,0)),"")</f>
      </c>
      <c r="K50" s="9" t="s">
        <v>905</v>
      </c>
      <c r="L50" s="10">
        <f>IFERROR(INDEX('👥 Estudiantes'!$G$3:$G$200,MATCH($C50,'👥 Estudiantes'!$C$3:$C$200,0)),"")</f>
      </c>
      <c r="M50" s="10">
        <f>IFERROR(INDEX('👥 Estudiantes'!$H$3:$H$200,MATCH($C50,'👥 Estudiantes'!$C$3:$C$200,0)),"")</f>
      </c>
      <c r="N50" s="10">
        <f>IFERROR(INDEX('👥 Estudiantes'!$I$3:$I$200,MATCH($C50,'👥 Estudiantes'!$C$3:$C$200,0)),"")</f>
      </c>
      <c r="O50" s="10">
        <f>IFERROR(INDEX('👥 Estudiantes'!$J$3:$J$200,MATCH($C50,'👥 Estudiantes'!$C$3:$C$200,0)),"")</f>
      </c>
      <c r="P50" s="9" t="s">
        <v>916</v>
      </c>
    </row>
    <row r="51" spans="1:16" x14ac:dyDescent="0.25">
      <c r="A51">
        <f>IF($C51="","",ROW()-2)</f>
      </c>
      <c r="B51" s="8">
        <f>IFERROR(INDEX('👥 Estudiantes'!$B$3:$B$200,MATCH($C51,'👥 Estudiantes'!$C$3:$C$200,0)),"")</f>
      </c>
      <c r="C51" s="9" t="s">
        <v>233</v>
      </c>
      <c r="D51" s="10">
        <f>IFERROR(INDEX('👥 Estudiantes'!$D$3:$D$200,MATCH($C51,'👥 Estudiantes'!$C$3:$C$200,0)),"")</f>
      </c>
      <c r="E51" s="10">
        <f>IFERROR(INDEX('👥 Estudiantes'!$E$3:$E$200,MATCH($C51,'👥 Estudiantes'!$C$3:$C$200,0)),"")</f>
      </c>
      <c r="F51" s="9" t="s">
        <v>769</v>
      </c>
      <c r="G51" s="10">
        <f>IFERROR(INDEX('🏢 Empresas'!$C$3:$C$200,MATCH($F51,'🏢 Empresas'!$B$3:$B$200,0)),"")</f>
      </c>
      <c r="H51" s="10">
        <f>IFERROR(INDEX('🏢 Empresas'!$D$3:$D$200,MATCH($F51,'🏢 Empresas'!$B$3:$B$200,0)),"")</f>
      </c>
      <c r="I51" s="10">
        <f>IFERROR(INDEX('🏢 Empresas'!$E$3:$E$200,MATCH($F51,'🏢 Empresas'!$B$3:$B$200,0)),"")</f>
      </c>
      <c r="J51" s="10">
        <f>IFERROR(INDEX('🏢 Empresas'!$F$3:$F$200,MATCH($F51,'🏢 Empresas'!$B$3:$B$200,0)),"")</f>
      </c>
      <c r="K51" s="9" t="s">
        <v>904</v>
      </c>
      <c r="L51" s="10">
        <f>IFERROR(INDEX('👥 Estudiantes'!$G$3:$G$200,MATCH($C51,'👥 Estudiantes'!$C$3:$C$200,0)),"")</f>
      </c>
      <c r="M51" s="10">
        <f>IFERROR(INDEX('👥 Estudiantes'!$H$3:$H$200,MATCH($C51,'👥 Estudiantes'!$C$3:$C$200,0)),"")</f>
      </c>
      <c r="N51" s="10">
        <f>IFERROR(INDEX('👥 Estudiantes'!$I$3:$I$200,MATCH($C51,'👥 Estudiantes'!$C$3:$C$200,0)),"")</f>
      </c>
      <c r="O51" s="10">
        <f>IFERROR(INDEX('👥 Estudiantes'!$J$3:$J$200,MATCH($C51,'👥 Estudiantes'!$C$3:$C$200,0)),"")</f>
      </c>
      <c r="P51" s="9" t="s">
        <v>918</v>
      </c>
    </row>
    <row r="52" spans="1:16" x14ac:dyDescent="0.25">
      <c r="A52">
        <f>IF($C52="","",ROW()-2)</f>
      </c>
      <c r="B52" s="8">
        <f>IFERROR(INDEX('👥 Estudiantes'!$B$3:$B$200,MATCH($C52,'👥 Estudiantes'!$C$3:$C$200,0)),"")</f>
      </c>
      <c r="C52" s="9" t="s">
        <v>237</v>
      </c>
      <c r="D52" s="10">
        <f>IFERROR(INDEX('👥 Estudiantes'!$D$3:$D$200,MATCH($C52,'👥 Estudiantes'!$C$3:$C$200,0)),"")</f>
      </c>
      <c r="E52" s="10">
        <f>IFERROR(INDEX('👥 Estudiantes'!$E$3:$E$200,MATCH($C52,'👥 Estudiantes'!$C$3:$C$200,0)),"")</f>
      </c>
      <c r="F52" s="9" t="s">
        <v>757</v>
      </c>
      <c r="G52" s="10">
        <f>IFERROR(INDEX('🏢 Empresas'!$C$3:$C$200,MATCH($F52,'🏢 Empresas'!$B$3:$B$200,0)),"")</f>
      </c>
      <c r="H52" s="10">
        <f>IFERROR(INDEX('🏢 Empresas'!$D$3:$D$200,MATCH($F52,'🏢 Empresas'!$B$3:$B$200,0)),"")</f>
      </c>
      <c r="I52" s="10">
        <f>IFERROR(INDEX('🏢 Empresas'!$E$3:$E$200,MATCH($F52,'🏢 Empresas'!$B$3:$B$200,0)),"")</f>
      </c>
      <c r="J52" s="10">
        <f>IFERROR(INDEX('🏢 Empresas'!$F$3:$F$200,MATCH($F52,'🏢 Empresas'!$B$3:$B$200,0)),"")</f>
      </c>
      <c r="K52" s="9" t="s">
        <v>905</v>
      </c>
      <c r="L52" s="10">
        <f>IFERROR(INDEX('👥 Estudiantes'!$G$3:$G$200,MATCH($C52,'👥 Estudiantes'!$C$3:$C$200,0)),"")</f>
      </c>
      <c r="M52" s="10">
        <f>IFERROR(INDEX('👥 Estudiantes'!$H$3:$H$200,MATCH($C52,'👥 Estudiantes'!$C$3:$C$200,0)),"")</f>
      </c>
      <c r="N52" s="10">
        <f>IFERROR(INDEX('👥 Estudiantes'!$I$3:$I$200,MATCH($C52,'👥 Estudiantes'!$C$3:$C$200,0)),"")</f>
      </c>
      <c r="O52" s="10">
        <f>IFERROR(INDEX('👥 Estudiantes'!$J$3:$J$200,MATCH($C52,'👥 Estudiantes'!$C$3:$C$200,0)),"")</f>
      </c>
      <c r="P52" s="9" t="s">
        <v>917</v>
      </c>
    </row>
    <row r="53" spans="1:16" x14ac:dyDescent="0.25">
      <c r="A53">
        <f>IF($C53="","",ROW()-2)</f>
      </c>
      <c r="B53" s="8">
        <f>IFERROR(INDEX('👥 Estudiantes'!$B$3:$B$200,MATCH($C53,'👥 Estudiantes'!$C$3:$C$200,0)),"")</f>
      </c>
      <c r="C53" s="9" t="s">
        <v>241</v>
      </c>
      <c r="D53" s="10">
        <f>IFERROR(INDEX('👥 Estudiantes'!$D$3:$D$200,MATCH($C53,'👥 Estudiantes'!$C$3:$C$200,0)),"")</f>
      </c>
      <c r="E53" s="10">
        <f>IFERROR(INDEX('👥 Estudiantes'!$E$3:$E$200,MATCH($C53,'👥 Estudiantes'!$C$3:$C$200,0)),"")</f>
      </c>
      <c r="F53" s="9" t="s">
        <v>782</v>
      </c>
      <c r="G53" s="10">
        <f>IFERROR(INDEX('🏢 Empresas'!$C$3:$C$200,MATCH($F53,'🏢 Empresas'!$B$3:$B$200,0)),"")</f>
      </c>
      <c r="H53" s="10">
        <f>IFERROR(INDEX('🏢 Empresas'!$D$3:$D$200,MATCH($F53,'🏢 Empresas'!$B$3:$B$200,0)),"")</f>
      </c>
      <c r="I53" s="10">
        <f>IFERROR(INDEX('🏢 Empresas'!$E$3:$E$200,MATCH($F53,'🏢 Empresas'!$B$3:$B$200,0)),"")</f>
      </c>
      <c r="J53" s="10">
        <f>IFERROR(INDEX('🏢 Empresas'!$F$3:$F$200,MATCH($F53,'🏢 Empresas'!$B$3:$B$200,0)),"")</f>
      </c>
      <c r="K53" s="9" t="s">
        <v>909</v>
      </c>
      <c r="L53" s="10">
        <f>IFERROR(INDEX('👥 Estudiantes'!$G$3:$G$200,MATCH($C53,'👥 Estudiantes'!$C$3:$C$200,0)),"")</f>
      </c>
      <c r="M53" s="10">
        <f>IFERROR(INDEX('👥 Estudiantes'!$H$3:$H$200,MATCH($C53,'👥 Estudiantes'!$C$3:$C$200,0)),"")</f>
      </c>
      <c r="N53" s="10">
        <f>IFERROR(INDEX('👥 Estudiantes'!$I$3:$I$200,MATCH($C53,'👥 Estudiantes'!$C$3:$C$200,0)),"")</f>
      </c>
      <c r="O53" s="10">
        <f>IFERROR(INDEX('👥 Estudiantes'!$J$3:$J$200,MATCH($C53,'👥 Estudiantes'!$C$3:$C$200,0)),"")</f>
      </c>
      <c r="P53" s="9" t="s">
        <v>919</v>
      </c>
    </row>
    <row r="54" spans="1:16" x14ac:dyDescent="0.25">
      <c r="A54">
        <f>IF($C54="","",ROW()-2)</f>
      </c>
      <c r="B54" s="8">
        <f>IFERROR(INDEX('👥 Estudiantes'!$B$3:$B$200,MATCH($C54,'👥 Estudiantes'!$C$3:$C$200,0)),"")</f>
      </c>
      <c r="C54" s="9" t="s">
        <v>245</v>
      </c>
      <c r="D54" s="10">
        <f>IFERROR(INDEX('👥 Estudiantes'!$D$3:$D$200,MATCH($C54,'👥 Estudiantes'!$C$3:$C$200,0)),"")</f>
      </c>
      <c r="E54" s="10">
        <f>IFERROR(INDEX('👥 Estudiantes'!$E$3:$E$200,MATCH($C54,'👥 Estudiantes'!$C$3:$C$200,0)),"")</f>
      </c>
      <c r="F54" s="9" t="s">
        <v>809</v>
      </c>
      <c r="G54" s="10">
        <f>IFERROR(INDEX('🏢 Empresas'!$C$3:$C$200,MATCH($F54,'🏢 Empresas'!$B$3:$B$200,0)),"")</f>
      </c>
      <c r="H54" s="10">
        <f>IFERROR(INDEX('🏢 Empresas'!$D$3:$D$200,MATCH($F54,'🏢 Empresas'!$B$3:$B$200,0)),"")</f>
      </c>
      <c r="I54" s="10">
        <f>IFERROR(INDEX('🏢 Empresas'!$E$3:$E$200,MATCH($F54,'🏢 Empresas'!$B$3:$B$200,0)),"")</f>
      </c>
      <c r="J54" s="10">
        <f>IFERROR(INDEX('🏢 Empresas'!$F$3:$F$200,MATCH($F54,'🏢 Empresas'!$B$3:$B$200,0)),"")</f>
      </c>
      <c r="K54" s="9" t="s">
        <v>898</v>
      </c>
      <c r="L54" s="10">
        <f>IFERROR(INDEX('👥 Estudiantes'!$G$3:$G$200,MATCH($C54,'👥 Estudiantes'!$C$3:$C$200,0)),"")</f>
      </c>
      <c r="M54" s="10">
        <f>IFERROR(INDEX('👥 Estudiantes'!$H$3:$H$200,MATCH($C54,'👥 Estudiantes'!$C$3:$C$200,0)),"")</f>
      </c>
      <c r="N54" s="10">
        <f>IFERROR(INDEX('👥 Estudiantes'!$I$3:$I$200,MATCH($C54,'👥 Estudiantes'!$C$3:$C$200,0)),"")</f>
      </c>
      <c r="O54" s="10">
        <f>IFERROR(INDEX('👥 Estudiantes'!$J$3:$J$200,MATCH($C54,'👥 Estudiantes'!$C$3:$C$200,0)),"")</f>
      </c>
      <c r="P54" s="9" t="s">
        <v>916</v>
      </c>
    </row>
    <row r="55" spans="1:16" x14ac:dyDescent="0.25">
      <c r="A55">
        <f>IF($C55="","",ROW()-2)</f>
      </c>
      <c r="B55" s="8">
        <f>IFERROR(INDEX('👥 Estudiantes'!$B$3:$B$200,MATCH($C55,'👥 Estudiantes'!$C$3:$C$200,0)),"")</f>
      </c>
      <c r="C55" s="9" t="s">
        <v>249</v>
      </c>
      <c r="D55" s="10">
        <f>IFERROR(INDEX('👥 Estudiantes'!$D$3:$D$200,MATCH($C55,'👥 Estudiantes'!$C$3:$C$200,0)),"")</f>
      </c>
      <c r="E55" s="10">
        <f>IFERROR(INDEX('👥 Estudiantes'!$E$3:$E$200,MATCH($C55,'👥 Estudiantes'!$C$3:$C$200,0)),"")</f>
      </c>
      <c r="F55" s="9" t="s">
        <v>703</v>
      </c>
      <c r="G55" s="10">
        <f>IFERROR(INDEX('🏢 Empresas'!$C$3:$C$200,MATCH($F55,'🏢 Empresas'!$B$3:$B$200,0)),"")</f>
      </c>
      <c r="H55" s="10">
        <f>IFERROR(INDEX('🏢 Empresas'!$D$3:$D$200,MATCH($F55,'🏢 Empresas'!$B$3:$B$200,0)),"")</f>
      </c>
      <c r="I55" s="10">
        <f>IFERROR(INDEX('🏢 Empresas'!$E$3:$E$200,MATCH($F55,'🏢 Empresas'!$B$3:$B$200,0)),"")</f>
      </c>
      <c r="J55" s="10">
        <f>IFERROR(INDEX('🏢 Empresas'!$F$3:$F$200,MATCH($F55,'🏢 Empresas'!$B$3:$B$200,0)),"")</f>
      </c>
      <c r="K55" s="9" t="s">
        <v>909</v>
      </c>
      <c r="L55" s="10">
        <f>IFERROR(INDEX('👥 Estudiantes'!$G$3:$G$200,MATCH($C55,'👥 Estudiantes'!$C$3:$C$200,0)),"")</f>
      </c>
      <c r="M55" s="10">
        <f>IFERROR(INDEX('👥 Estudiantes'!$H$3:$H$200,MATCH($C55,'👥 Estudiantes'!$C$3:$C$200,0)),"")</f>
      </c>
      <c r="N55" s="10">
        <f>IFERROR(INDEX('👥 Estudiantes'!$I$3:$I$200,MATCH($C55,'👥 Estudiantes'!$C$3:$C$200,0)),"")</f>
      </c>
      <c r="O55" s="10">
        <f>IFERROR(INDEX('👥 Estudiantes'!$J$3:$J$200,MATCH($C55,'👥 Estudiantes'!$C$3:$C$200,0)),"")</f>
      </c>
      <c r="P55" s="9" t="s">
        <v>920</v>
      </c>
    </row>
    <row r="56" spans="1:16" x14ac:dyDescent="0.25">
      <c r="A56">
        <f>IF($C56="","",ROW()-2)</f>
      </c>
      <c r="B56" s="8">
        <f>IFERROR(INDEX('👥 Estudiantes'!$B$3:$B$200,MATCH($C56,'👥 Estudiantes'!$C$3:$C$200,0)),"")</f>
      </c>
      <c r="C56" s="9" t="s">
        <v>253</v>
      </c>
      <c r="D56" s="10">
        <f>IFERROR(INDEX('👥 Estudiantes'!$D$3:$D$200,MATCH($C56,'👥 Estudiantes'!$C$3:$C$200,0)),"")</f>
      </c>
      <c r="E56" s="10">
        <f>IFERROR(INDEX('👥 Estudiantes'!$E$3:$E$200,MATCH($C56,'👥 Estudiantes'!$C$3:$C$200,0)),"")</f>
      </c>
      <c r="F56" s="9" t="s">
        <v>855</v>
      </c>
      <c r="G56" s="10">
        <f>IFERROR(INDEX('🏢 Empresas'!$C$3:$C$200,MATCH($F56,'🏢 Empresas'!$B$3:$B$200,0)),"")</f>
      </c>
      <c r="H56" s="10">
        <f>IFERROR(INDEX('🏢 Empresas'!$D$3:$D$200,MATCH($F56,'🏢 Empresas'!$B$3:$B$200,0)),"")</f>
      </c>
      <c r="I56" s="10">
        <f>IFERROR(INDEX('🏢 Empresas'!$E$3:$E$200,MATCH($F56,'🏢 Empresas'!$B$3:$B$200,0)),"")</f>
      </c>
      <c r="J56" s="10">
        <f>IFERROR(INDEX('🏢 Empresas'!$F$3:$F$200,MATCH($F56,'🏢 Empresas'!$B$3:$B$200,0)),"")</f>
      </c>
      <c r="K56" s="9" t="s">
        <v>901</v>
      </c>
      <c r="L56" s="10">
        <f>IFERROR(INDEX('👥 Estudiantes'!$G$3:$G$200,MATCH($C56,'👥 Estudiantes'!$C$3:$C$200,0)),"")</f>
      </c>
      <c r="M56" s="10">
        <f>IFERROR(INDEX('👥 Estudiantes'!$H$3:$H$200,MATCH($C56,'👥 Estudiantes'!$C$3:$C$200,0)),"")</f>
      </c>
      <c r="N56" s="10">
        <f>IFERROR(INDEX('👥 Estudiantes'!$I$3:$I$200,MATCH($C56,'👥 Estudiantes'!$C$3:$C$200,0)),"")</f>
      </c>
      <c r="O56" s="10">
        <f>IFERROR(INDEX('👥 Estudiantes'!$J$3:$J$200,MATCH($C56,'👥 Estudiantes'!$C$3:$C$200,0)),"")</f>
      </c>
      <c r="P56" s="9" t="s">
        <v>919</v>
      </c>
    </row>
    <row r="57" spans="1:16" x14ac:dyDescent="0.25">
      <c r="A57">
        <f>IF($C57="","",ROW()-2)</f>
      </c>
      <c r="B57" s="8">
        <f>IFERROR(INDEX('👥 Estudiantes'!$B$3:$B$200,MATCH($C57,'👥 Estudiantes'!$C$3:$C$200,0)),"")</f>
      </c>
      <c r="C57" s="9" t="s">
        <v>257</v>
      </c>
      <c r="D57" s="10">
        <f>IFERROR(INDEX('👥 Estudiantes'!$D$3:$D$200,MATCH($C57,'👥 Estudiantes'!$C$3:$C$200,0)),"")</f>
      </c>
      <c r="E57" s="10">
        <f>IFERROR(INDEX('👥 Estudiantes'!$E$3:$E$200,MATCH($C57,'👥 Estudiantes'!$C$3:$C$200,0)),"")</f>
      </c>
      <c r="F57" s="9" t="s">
        <v>801</v>
      </c>
      <c r="G57" s="10">
        <f>IFERROR(INDEX('🏢 Empresas'!$C$3:$C$200,MATCH($F57,'🏢 Empresas'!$B$3:$B$200,0)),"")</f>
      </c>
      <c r="H57" s="10">
        <f>IFERROR(INDEX('🏢 Empresas'!$D$3:$D$200,MATCH($F57,'🏢 Empresas'!$B$3:$B$200,0)),"")</f>
      </c>
      <c r="I57" s="10">
        <f>IFERROR(INDEX('🏢 Empresas'!$E$3:$E$200,MATCH($F57,'🏢 Empresas'!$B$3:$B$200,0)),"")</f>
      </c>
      <c r="J57" s="10">
        <f>IFERROR(INDEX('🏢 Empresas'!$F$3:$F$200,MATCH($F57,'🏢 Empresas'!$B$3:$B$200,0)),"")</f>
      </c>
      <c r="K57" s="9" t="s">
        <v>902</v>
      </c>
      <c r="L57" s="10">
        <f>IFERROR(INDEX('👥 Estudiantes'!$G$3:$G$200,MATCH($C57,'👥 Estudiantes'!$C$3:$C$200,0)),"")</f>
      </c>
      <c r="M57" s="10">
        <f>IFERROR(INDEX('👥 Estudiantes'!$H$3:$H$200,MATCH($C57,'👥 Estudiantes'!$C$3:$C$200,0)),"")</f>
      </c>
      <c r="N57" s="10">
        <f>IFERROR(INDEX('👥 Estudiantes'!$I$3:$I$200,MATCH($C57,'👥 Estudiantes'!$C$3:$C$200,0)),"")</f>
      </c>
      <c r="O57" s="10">
        <f>IFERROR(INDEX('👥 Estudiantes'!$J$3:$J$200,MATCH($C57,'👥 Estudiantes'!$C$3:$C$200,0)),"")</f>
      </c>
      <c r="P57" s="9" t="s">
        <v>920</v>
      </c>
    </row>
    <row r="58" spans="1:16" x14ac:dyDescent="0.25">
      <c r="A58">
        <f>IF($C58="","",ROW()-2)</f>
      </c>
      <c r="B58" s="8">
        <f>IFERROR(INDEX('👥 Estudiantes'!$B$3:$B$200,MATCH($C58,'👥 Estudiantes'!$C$3:$C$200,0)),"")</f>
      </c>
      <c r="C58" s="9" t="s">
        <v>261</v>
      </c>
      <c r="D58" s="10">
        <f>IFERROR(INDEX('👥 Estudiantes'!$D$3:$D$200,MATCH($C58,'👥 Estudiantes'!$C$3:$C$200,0)),"")</f>
      </c>
      <c r="E58" s="10">
        <f>IFERROR(INDEX('👥 Estudiantes'!$E$3:$E$200,MATCH($C58,'👥 Estudiantes'!$C$3:$C$200,0)),"")</f>
      </c>
      <c r="F58" s="9" t="s">
        <v>723</v>
      </c>
      <c r="G58" s="10">
        <f>IFERROR(INDEX('🏢 Empresas'!$C$3:$C$200,MATCH($F58,'🏢 Empresas'!$B$3:$B$200,0)),"")</f>
      </c>
      <c r="H58" s="10">
        <f>IFERROR(INDEX('🏢 Empresas'!$D$3:$D$200,MATCH($F58,'🏢 Empresas'!$B$3:$B$200,0)),"")</f>
      </c>
      <c r="I58" s="10">
        <f>IFERROR(INDEX('🏢 Empresas'!$E$3:$E$200,MATCH($F58,'🏢 Empresas'!$B$3:$B$200,0)),"")</f>
      </c>
      <c r="J58" s="10">
        <f>IFERROR(INDEX('🏢 Empresas'!$F$3:$F$200,MATCH($F58,'🏢 Empresas'!$B$3:$B$200,0)),"")</f>
      </c>
      <c r="K58" s="9" t="s">
        <v>901</v>
      </c>
      <c r="L58" s="10">
        <f>IFERROR(INDEX('👥 Estudiantes'!$G$3:$G$200,MATCH($C58,'👥 Estudiantes'!$C$3:$C$200,0)),"")</f>
      </c>
      <c r="M58" s="10">
        <f>IFERROR(INDEX('👥 Estudiantes'!$H$3:$H$200,MATCH($C58,'👥 Estudiantes'!$C$3:$C$200,0)),"")</f>
      </c>
      <c r="N58" s="10">
        <f>IFERROR(INDEX('👥 Estudiantes'!$I$3:$I$200,MATCH($C58,'👥 Estudiantes'!$C$3:$C$200,0)),"")</f>
      </c>
      <c r="O58" s="10">
        <f>IFERROR(INDEX('👥 Estudiantes'!$J$3:$J$200,MATCH($C58,'👥 Estudiantes'!$C$3:$C$200,0)),"")</f>
      </c>
      <c r="P58" s="9" t="s">
        <v>916</v>
      </c>
    </row>
    <row r="59" spans="1:16" x14ac:dyDescent="0.25">
      <c r="A59">
        <f>IF($C59="","",ROW()-2)</f>
      </c>
      <c r="B59" s="8">
        <f>IFERROR(INDEX('👥 Estudiantes'!$B$3:$B$200,MATCH($C59,'👥 Estudiantes'!$C$3:$C$200,0)),"")</f>
      </c>
      <c r="C59" s="9" t="s">
        <v>265</v>
      </c>
      <c r="D59" s="10">
        <f>IFERROR(INDEX('👥 Estudiantes'!$D$3:$D$200,MATCH($C59,'👥 Estudiantes'!$C$3:$C$200,0)),"")</f>
      </c>
      <c r="E59" s="10">
        <f>IFERROR(INDEX('👥 Estudiantes'!$E$3:$E$200,MATCH($C59,'👥 Estudiantes'!$C$3:$C$200,0)),"")</f>
      </c>
      <c r="F59" s="9" t="s">
        <v>851</v>
      </c>
      <c r="G59" s="10">
        <f>IFERROR(INDEX('🏢 Empresas'!$C$3:$C$200,MATCH($F59,'🏢 Empresas'!$B$3:$B$200,0)),"")</f>
      </c>
      <c r="H59" s="10">
        <f>IFERROR(INDEX('🏢 Empresas'!$D$3:$D$200,MATCH($F59,'🏢 Empresas'!$B$3:$B$200,0)),"")</f>
      </c>
      <c r="I59" s="10">
        <f>IFERROR(INDEX('🏢 Empresas'!$E$3:$E$200,MATCH($F59,'🏢 Empresas'!$B$3:$B$200,0)),"")</f>
      </c>
      <c r="J59" s="10">
        <f>IFERROR(INDEX('🏢 Empresas'!$F$3:$F$200,MATCH($F59,'🏢 Empresas'!$B$3:$B$200,0)),"")</f>
      </c>
      <c r="K59" s="9" t="s">
        <v>905</v>
      </c>
      <c r="L59" s="10">
        <f>IFERROR(INDEX('👥 Estudiantes'!$G$3:$G$200,MATCH($C59,'👥 Estudiantes'!$C$3:$C$200,0)),"")</f>
      </c>
      <c r="M59" s="10">
        <f>IFERROR(INDEX('👥 Estudiantes'!$H$3:$H$200,MATCH($C59,'👥 Estudiantes'!$C$3:$C$200,0)),"")</f>
      </c>
      <c r="N59" s="10">
        <f>IFERROR(INDEX('👥 Estudiantes'!$I$3:$I$200,MATCH($C59,'👥 Estudiantes'!$C$3:$C$200,0)),"")</f>
      </c>
      <c r="O59" s="10">
        <f>IFERROR(INDEX('👥 Estudiantes'!$J$3:$J$200,MATCH($C59,'👥 Estudiantes'!$C$3:$C$200,0)),"")</f>
      </c>
      <c r="P59" s="9" t="s">
        <v>921</v>
      </c>
    </row>
    <row r="60" spans="1:16" x14ac:dyDescent="0.25">
      <c r="A60">
        <f>IF($C60="","",ROW()-2)</f>
      </c>
      <c r="B60" s="8">
        <f>IFERROR(INDEX('👥 Estudiantes'!$B$3:$B$200,MATCH($C60,'👥 Estudiantes'!$C$3:$C$200,0)),"")</f>
      </c>
      <c r="C60" s="9" t="s">
        <v>269</v>
      </c>
      <c r="D60" s="10">
        <f>IFERROR(INDEX('👥 Estudiantes'!$D$3:$D$200,MATCH($C60,'👥 Estudiantes'!$C$3:$C$200,0)),"")</f>
      </c>
      <c r="E60" s="10">
        <f>IFERROR(INDEX('👥 Estudiantes'!$E$3:$E$200,MATCH($C60,'👥 Estudiantes'!$C$3:$C$200,0)),"")</f>
      </c>
      <c r="F60" s="9" t="s">
        <v>613</v>
      </c>
      <c r="G60" s="10">
        <f>IFERROR(INDEX('🏢 Empresas'!$C$3:$C$200,MATCH($F60,'🏢 Empresas'!$B$3:$B$200,0)),"")</f>
      </c>
      <c r="H60" s="10">
        <f>IFERROR(INDEX('🏢 Empresas'!$D$3:$D$200,MATCH($F60,'🏢 Empresas'!$B$3:$B$200,0)),"")</f>
      </c>
      <c r="I60" s="10">
        <f>IFERROR(INDEX('🏢 Empresas'!$E$3:$E$200,MATCH($F60,'🏢 Empresas'!$B$3:$B$200,0)),"")</f>
      </c>
      <c r="J60" s="10">
        <f>IFERROR(INDEX('🏢 Empresas'!$F$3:$F$200,MATCH($F60,'🏢 Empresas'!$B$3:$B$200,0)),"")</f>
      </c>
      <c r="K60" s="9" t="s">
        <v>906</v>
      </c>
      <c r="L60" s="10">
        <f>IFERROR(INDEX('👥 Estudiantes'!$G$3:$G$200,MATCH($C60,'👥 Estudiantes'!$C$3:$C$200,0)),"")</f>
      </c>
      <c r="M60" s="10">
        <f>IFERROR(INDEX('👥 Estudiantes'!$H$3:$H$200,MATCH($C60,'👥 Estudiantes'!$C$3:$C$200,0)),"")</f>
      </c>
      <c r="N60" s="10">
        <f>IFERROR(INDEX('👥 Estudiantes'!$I$3:$I$200,MATCH($C60,'👥 Estudiantes'!$C$3:$C$200,0)),"")</f>
      </c>
      <c r="O60" s="10">
        <f>IFERROR(INDEX('👥 Estudiantes'!$J$3:$J$200,MATCH($C60,'👥 Estudiantes'!$C$3:$C$200,0)),"")</f>
      </c>
      <c r="P60" s="9" t="s">
        <v>920</v>
      </c>
    </row>
    <row r="61" spans="1:16" x14ac:dyDescent="0.25">
      <c r="A61">
        <f>IF($C61="","",ROW()-2)</f>
      </c>
      <c r="B61" s="8">
        <f>IFERROR(INDEX('👥 Estudiantes'!$B$3:$B$200,MATCH($C61,'👥 Estudiantes'!$C$3:$C$200,0)),"")</f>
      </c>
      <c r="C61" s="9" t="s">
        <v>273</v>
      </c>
      <c r="D61" s="10">
        <f>IFERROR(INDEX('👥 Estudiantes'!$D$3:$D$200,MATCH($C61,'👥 Estudiantes'!$C$3:$C$200,0)),"")</f>
      </c>
      <c r="E61" s="10">
        <f>IFERROR(INDEX('👥 Estudiantes'!$E$3:$E$200,MATCH($C61,'👥 Estudiantes'!$C$3:$C$200,0)),"")</f>
      </c>
      <c r="F61" s="9" t="s">
        <v>773</v>
      </c>
      <c r="G61" s="10">
        <f>IFERROR(INDEX('🏢 Empresas'!$C$3:$C$200,MATCH($F61,'🏢 Empresas'!$B$3:$B$200,0)),"")</f>
      </c>
      <c r="H61" s="10">
        <f>IFERROR(INDEX('🏢 Empresas'!$D$3:$D$200,MATCH($F61,'🏢 Empresas'!$B$3:$B$200,0)),"")</f>
      </c>
      <c r="I61" s="10">
        <f>IFERROR(INDEX('🏢 Empresas'!$E$3:$E$200,MATCH($F61,'🏢 Empresas'!$B$3:$B$200,0)),"")</f>
      </c>
      <c r="J61" s="10">
        <f>IFERROR(INDEX('🏢 Empresas'!$F$3:$F$200,MATCH($F61,'🏢 Empresas'!$B$3:$B$200,0)),"")</f>
      </c>
      <c r="K61" s="9" t="s">
        <v>904</v>
      </c>
      <c r="L61" s="10">
        <f>IFERROR(INDEX('👥 Estudiantes'!$G$3:$G$200,MATCH($C61,'👥 Estudiantes'!$C$3:$C$200,0)),"")</f>
      </c>
      <c r="M61" s="10">
        <f>IFERROR(INDEX('👥 Estudiantes'!$H$3:$H$200,MATCH($C61,'👥 Estudiantes'!$C$3:$C$200,0)),"")</f>
      </c>
      <c r="N61" s="10">
        <f>IFERROR(INDEX('👥 Estudiantes'!$I$3:$I$200,MATCH($C61,'👥 Estudiantes'!$C$3:$C$200,0)),"")</f>
      </c>
      <c r="O61" s="10">
        <f>IFERROR(INDEX('👥 Estudiantes'!$J$3:$J$200,MATCH($C61,'👥 Estudiantes'!$C$3:$C$200,0)),"")</f>
      </c>
      <c r="P61" s="9" t="s">
        <v>919</v>
      </c>
    </row>
    <row r="62" spans="1:16" x14ac:dyDescent="0.25">
      <c r="A62">
        <f>IF($C62="","",ROW()-2)</f>
      </c>
      <c r="B62" s="8">
        <f>IFERROR(INDEX('👥 Estudiantes'!$B$3:$B$200,MATCH($C62,'👥 Estudiantes'!$C$3:$C$200,0)),"")</f>
      </c>
      <c r="C62" s="9" t="s">
        <v>277</v>
      </c>
      <c r="D62" s="10">
        <f>IFERROR(INDEX('👥 Estudiantes'!$D$3:$D$200,MATCH($C62,'👥 Estudiantes'!$C$3:$C$200,0)),"")</f>
      </c>
      <c r="E62" s="10">
        <f>IFERROR(INDEX('👥 Estudiantes'!$E$3:$E$200,MATCH($C62,'👥 Estudiantes'!$C$3:$C$200,0)),"")</f>
      </c>
      <c r="F62" s="9" t="s">
        <v>773</v>
      </c>
      <c r="G62" s="10">
        <f>IFERROR(INDEX('🏢 Empresas'!$C$3:$C$200,MATCH($F62,'🏢 Empresas'!$B$3:$B$200,0)),"")</f>
      </c>
      <c r="H62" s="10">
        <f>IFERROR(INDEX('🏢 Empresas'!$D$3:$D$200,MATCH($F62,'🏢 Empresas'!$B$3:$B$200,0)),"")</f>
      </c>
      <c r="I62" s="10">
        <f>IFERROR(INDEX('🏢 Empresas'!$E$3:$E$200,MATCH($F62,'🏢 Empresas'!$B$3:$B$200,0)),"")</f>
      </c>
      <c r="J62" s="10">
        <f>IFERROR(INDEX('🏢 Empresas'!$F$3:$F$200,MATCH($F62,'🏢 Empresas'!$B$3:$B$200,0)),"")</f>
      </c>
      <c r="K62" s="9" t="s">
        <v>899</v>
      </c>
      <c r="L62" s="10">
        <f>IFERROR(INDEX('👥 Estudiantes'!$G$3:$G$200,MATCH($C62,'👥 Estudiantes'!$C$3:$C$200,0)),"")</f>
      </c>
      <c r="M62" s="10">
        <f>IFERROR(INDEX('👥 Estudiantes'!$H$3:$H$200,MATCH($C62,'👥 Estudiantes'!$C$3:$C$200,0)),"")</f>
      </c>
      <c r="N62" s="10">
        <f>IFERROR(INDEX('👥 Estudiantes'!$I$3:$I$200,MATCH($C62,'👥 Estudiantes'!$C$3:$C$200,0)),"")</f>
      </c>
      <c r="O62" s="10">
        <f>IFERROR(INDEX('👥 Estudiantes'!$J$3:$J$200,MATCH($C62,'👥 Estudiantes'!$C$3:$C$200,0)),"")</f>
      </c>
      <c r="P62" s="9" t="s">
        <v>916</v>
      </c>
    </row>
    <row r="63" spans="1:16" x14ac:dyDescent="0.25">
      <c r="A63">
        <f>IF($C63="","",ROW()-2)</f>
      </c>
      <c r="B63" s="8">
        <f>IFERROR(INDEX('👥 Estudiantes'!$B$3:$B$200,MATCH($C63,'👥 Estudiantes'!$C$3:$C$200,0)),"")</f>
      </c>
      <c r="C63" s="9" t="s">
        <v>281</v>
      </c>
      <c r="D63" s="10">
        <f>IFERROR(INDEX('👥 Estudiantes'!$D$3:$D$200,MATCH($C63,'👥 Estudiantes'!$C$3:$C$200,0)),"")</f>
      </c>
      <c r="E63" s="10">
        <f>IFERROR(INDEX('👥 Estudiantes'!$E$3:$E$200,MATCH($C63,'👥 Estudiantes'!$C$3:$C$200,0)),"")</f>
      </c>
      <c r="F63" s="9" t="s">
        <v>890</v>
      </c>
      <c r="G63" s="10">
        <f>IFERROR(INDEX('🏢 Empresas'!$C$3:$C$200,MATCH($F63,'🏢 Empresas'!$B$3:$B$200,0)),"")</f>
      </c>
      <c r="H63" s="10">
        <f>IFERROR(INDEX('🏢 Empresas'!$D$3:$D$200,MATCH($F63,'🏢 Empresas'!$B$3:$B$200,0)),"")</f>
      </c>
      <c r="I63" s="10">
        <f>IFERROR(INDEX('🏢 Empresas'!$E$3:$E$200,MATCH($F63,'🏢 Empresas'!$B$3:$B$200,0)),"")</f>
      </c>
      <c r="J63" s="10">
        <f>IFERROR(INDEX('🏢 Empresas'!$F$3:$F$200,MATCH($F63,'🏢 Empresas'!$B$3:$B$200,0)),"")</f>
      </c>
      <c r="K63" s="9" t="s">
        <v>903</v>
      </c>
      <c r="L63" s="10">
        <f>IFERROR(INDEX('👥 Estudiantes'!$G$3:$G$200,MATCH($C63,'👥 Estudiantes'!$C$3:$C$200,0)),"")</f>
      </c>
      <c r="M63" s="10">
        <f>IFERROR(INDEX('👥 Estudiantes'!$H$3:$H$200,MATCH($C63,'👥 Estudiantes'!$C$3:$C$200,0)),"")</f>
      </c>
      <c r="N63" s="10">
        <f>IFERROR(INDEX('👥 Estudiantes'!$I$3:$I$200,MATCH($C63,'👥 Estudiantes'!$C$3:$C$200,0)),"")</f>
      </c>
      <c r="O63" s="10">
        <f>IFERROR(INDEX('👥 Estudiantes'!$J$3:$J$200,MATCH($C63,'👥 Estudiantes'!$C$3:$C$200,0)),"")</f>
      </c>
      <c r="P63" s="9" t="s">
        <v>918</v>
      </c>
    </row>
    <row r="64" spans="1:16" x14ac:dyDescent="0.25">
      <c r="A64">
        <f>IF($C64="","",ROW()-2)</f>
      </c>
      <c r="B64" s="8">
        <f>IFERROR(INDEX('👥 Estudiantes'!$B$3:$B$200,MATCH($C64,'👥 Estudiantes'!$C$3:$C$200,0)),"")</f>
      </c>
      <c r="C64" s="9" t="s">
        <v>285</v>
      </c>
      <c r="D64" s="10">
        <f>IFERROR(INDEX('👥 Estudiantes'!$D$3:$D$200,MATCH($C64,'👥 Estudiantes'!$C$3:$C$200,0)),"")</f>
      </c>
      <c r="E64" s="10">
        <f>IFERROR(INDEX('👥 Estudiantes'!$E$3:$E$200,MATCH($C64,'👥 Estudiantes'!$C$3:$C$200,0)),"")</f>
      </c>
      <c r="F64" s="9" t="s">
        <v>782</v>
      </c>
      <c r="G64" s="10">
        <f>IFERROR(INDEX('🏢 Empresas'!$C$3:$C$200,MATCH($F64,'🏢 Empresas'!$B$3:$B$200,0)),"")</f>
      </c>
      <c r="H64" s="10">
        <f>IFERROR(INDEX('🏢 Empresas'!$D$3:$D$200,MATCH($F64,'🏢 Empresas'!$B$3:$B$200,0)),"")</f>
      </c>
      <c r="I64" s="10">
        <f>IFERROR(INDEX('🏢 Empresas'!$E$3:$E$200,MATCH($F64,'🏢 Empresas'!$B$3:$B$200,0)),"")</f>
      </c>
      <c r="J64" s="10">
        <f>IFERROR(INDEX('🏢 Empresas'!$F$3:$F$200,MATCH($F64,'🏢 Empresas'!$B$3:$B$200,0)),"")</f>
      </c>
      <c r="K64" s="9" t="s">
        <v>909</v>
      </c>
      <c r="L64" s="10">
        <f>IFERROR(INDEX('👥 Estudiantes'!$G$3:$G$200,MATCH($C64,'👥 Estudiantes'!$C$3:$C$200,0)),"")</f>
      </c>
      <c r="M64" s="10">
        <f>IFERROR(INDEX('👥 Estudiantes'!$H$3:$H$200,MATCH($C64,'👥 Estudiantes'!$C$3:$C$200,0)),"")</f>
      </c>
      <c r="N64" s="10">
        <f>IFERROR(INDEX('👥 Estudiantes'!$I$3:$I$200,MATCH($C64,'👥 Estudiantes'!$C$3:$C$200,0)),"")</f>
      </c>
      <c r="O64" s="10">
        <f>IFERROR(INDEX('👥 Estudiantes'!$J$3:$J$200,MATCH($C64,'👥 Estudiantes'!$C$3:$C$200,0)),"")</f>
      </c>
      <c r="P64" s="9" t="s">
        <v>917</v>
      </c>
    </row>
    <row r="65" spans="1:16" x14ac:dyDescent="0.25">
      <c r="A65">
        <f>IF($C65="","",ROW()-2)</f>
      </c>
      <c r="B65" s="8">
        <f>IFERROR(INDEX('👥 Estudiantes'!$B$3:$B$200,MATCH($C65,'👥 Estudiantes'!$C$3:$C$200,0)),"")</f>
      </c>
      <c r="C65" s="9" t="s">
        <v>289</v>
      </c>
      <c r="D65" s="10">
        <f>IFERROR(INDEX('👥 Estudiantes'!$D$3:$D$200,MATCH($C65,'👥 Estudiantes'!$C$3:$C$200,0)),"")</f>
      </c>
      <c r="E65" s="10">
        <f>IFERROR(INDEX('👥 Estudiantes'!$E$3:$E$200,MATCH($C65,'👥 Estudiantes'!$C$3:$C$200,0)),"")</f>
      </c>
      <c r="F65" s="9" t="s">
        <v>732</v>
      </c>
      <c r="G65" s="10">
        <f>IFERROR(INDEX('🏢 Empresas'!$C$3:$C$200,MATCH($F65,'🏢 Empresas'!$B$3:$B$200,0)),"")</f>
      </c>
      <c r="H65" s="10">
        <f>IFERROR(INDEX('🏢 Empresas'!$D$3:$D$200,MATCH($F65,'🏢 Empresas'!$B$3:$B$200,0)),"")</f>
      </c>
      <c r="I65" s="10">
        <f>IFERROR(INDEX('🏢 Empresas'!$E$3:$E$200,MATCH($F65,'🏢 Empresas'!$B$3:$B$200,0)),"")</f>
      </c>
      <c r="J65" s="10">
        <f>IFERROR(INDEX('🏢 Empresas'!$F$3:$F$200,MATCH($F65,'🏢 Empresas'!$B$3:$B$200,0)),"")</f>
      </c>
      <c r="K65" s="9" t="s">
        <v>899</v>
      </c>
      <c r="L65" s="10">
        <f>IFERROR(INDEX('👥 Estudiantes'!$G$3:$G$200,MATCH($C65,'👥 Estudiantes'!$C$3:$C$200,0)),"")</f>
      </c>
      <c r="M65" s="10">
        <f>IFERROR(INDEX('👥 Estudiantes'!$H$3:$H$200,MATCH($C65,'👥 Estudiantes'!$C$3:$C$200,0)),"")</f>
      </c>
      <c r="N65" s="10">
        <f>IFERROR(INDEX('👥 Estudiantes'!$I$3:$I$200,MATCH($C65,'👥 Estudiantes'!$C$3:$C$200,0)),"")</f>
      </c>
      <c r="O65" s="10">
        <f>IFERROR(INDEX('👥 Estudiantes'!$J$3:$J$200,MATCH($C65,'👥 Estudiantes'!$C$3:$C$200,0)),"")</f>
      </c>
      <c r="P65" s="9" t="s">
        <v>919</v>
      </c>
    </row>
    <row r="66" spans="1:16" x14ac:dyDescent="0.25">
      <c r="A66">
        <f>IF($C66="","",ROW()-2)</f>
      </c>
      <c r="B66" s="8">
        <f>IFERROR(INDEX('👥 Estudiantes'!$B$3:$B$200,MATCH($C66,'👥 Estudiantes'!$C$3:$C$200,0)),"")</f>
      </c>
      <c r="C66" s="9" t="s">
        <v>293</v>
      </c>
      <c r="D66" s="10">
        <f>IFERROR(INDEX('👥 Estudiantes'!$D$3:$D$200,MATCH($C66,'👥 Estudiantes'!$C$3:$C$200,0)),"")</f>
      </c>
      <c r="E66" s="10">
        <f>IFERROR(INDEX('👥 Estudiantes'!$E$3:$E$200,MATCH($C66,'👥 Estudiantes'!$C$3:$C$200,0)),"")</f>
      </c>
      <c r="F66" s="9" t="s">
        <v>826</v>
      </c>
      <c r="G66" s="10">
        <f>IFERROR(INDEX('🏢 Empresas'!$C$3:$C$200,MATCH($F66,'🏢 Empresas'!$B$3:$B$200,0)),"")</f>
      </c>
      <c r="H66" s="10">
        <f>IFERROR(INDEX('🏢 Empresas'!$D$3:$D$200,MATCH($F66,'🏢 Empresas'!$B$3:$B$200,0)),"")</f>
      </c>
      <c r="I66" s="10">
        <f>IFERROR(INDEX('🏢 Empresas'!$E$3:$E$200,MATCH($F66,'🏢 Empresas'!$B$3:$B$200,0)),"")</f>
      </c>
      <c r="J66" s="10">
        <f>IFERROR(INDEX('🏢 Empresas'!$F$3:$F$200,MATCH($F66,'🏢 Empresas'!$B$3:$B$200,0)),"")</f>
      </c>
      <c r="K66" s="9" t="s">
        <v>907</v>
      </c>
      <c r="L66" s="10">
        <f>IFERROR(INDEX('👥 Estudiantes'!$G$3:$G$200,MATCH($C66,'👥 Estudiantes'!$C$3:$C$200,0)),"")</f>
      </c>
      <c r="M66" s="10">
        <f>IFERROR(INDEX('👥 Estudiantes'!$H$3:$H$200,MATCH($C66,'👥 Estudiantes'!$C$3:$C$200,0)),"")</f>
      </c>
      <c r="N66" s="10">
        <f>IFERROR(INDEX('👥 Estudiantes'!$I$3:$I$200,MATCH($C66,'👥 Estudiantes'!$C$3:$C$200,0)),"")</f>
      </c>
      <c r="O66" s="10">
        <f>IFERROR(INDEX('👥 Estudiantes'!$J$3:$J$200,MATCH($C66,'👥 Estudiantes'!$C$3:$C$200,0)),"")</f>
      </c>
      <c r="P66" s="9" t="s">
        <v>918</v>
      </c>
    </row>
    <row r="67" spans="1:16" x14ac:dyDescent="0.25">
      <c r="A67">
        <f>IF($C67="","",ROW()-2)</f>
      </c>
      <c r="B67" s="8">
        <f>IFERROR(INDEX('👥 Estudiantes'!$B$3:$B$200,MATCH($C67,'👥 Estudiantes'!$C$3:$C$200,0)),"")</f>
      </c>
      <c r="C67" s="9" t="s">
        <v>297</v>
      </c>
      <c r="D67" s="10">
        <f>IFERROR(INDEX('👥 Estudiantes'!$D$3:$D$200,MATCH($C67,'👥 Estudiantes'!$C$3:$C$200,0)),"")</f>
      </c>
      <c r="E67" s="10">
        <f>IFERROR(INDEX('👥 Estudiantes'!$E$3:$E$200,MATCH($C67,'👥 Estudiantes'!$C$3:$C$200,0)),"")</f>
      </c>
      <c r="F67" s="9" t="s">
        <v>640</v>
      </c>
      <c r="G67" s="10">
        <f>IFERROR(INDEX('🏢 Empresas'!$C$3:$C$200,MATCH($F67,'🏢 Empresas'!$B$3:$B$200,0)),"")</f>
      </c>
      <c r="H67" s="10">
        <f>IFERROR(INDEX('🏢 Empresas'!$D$3:$D$200,MATCH($F67,'🏢 Empresas'!$B$3:$B$200,0)),"")</f>
      </c>
      <c r="I67" s="10">
        <f>IFERROR(INDEX('🏢 Empresas'!$E$3:$E$200,MATCH($F67,'🏢 Empresas'!$B$3:$B$200,0)),"")</f>
      </c>
      <c r="J67" s="10">
        <f>IFERROR(INDEX('🏢 Empresas'!$F$3:$F$200,MATCH($F67,'🏢 Empresas'!$B$3:$B$200,0)),"")</f>
      </c>
      <c r="K67" s="9" t="s">
        <v>899</v>
      </c>
      <c r="L67" s="10">
        <f>IFERROR(INDEX('👥 Estudiantes'!$G$3:$G$200,MATCH($C67,'👥 Estudiantes'!$C$3:$C$200,0)),"")</f>
      </c>
      <c r="M67" s="10">
        <f>IFERROR(INDEX('👥 Estudiantes'!$H$3:$H$200,MATCH($C67,'👥 Estudiantes'!$C$3:$C$200,0)),"")</f>
      </c>
      <c r="N67" s="10">
        <f>IFERROR(INDEX('👥 Estudiantes'!$I$3:$I$200,MATCH($C67,'👥 Estudiantes'!$C$3:$C$200,0)),"")</f>
      </c>
      <c r="O67" s="10">
        <f>IFERROR(INDEX('👥 Estudiantes'!$J$3:$J$200,MATCH($C67,'👥 Estudiantes'!$C$3:$C$200,0)),"")</f>
      </c>
      <c r="P67" s="9" t="s">
        <v>918</v>
      </c>
    </row>
    <row r="68" spans="1:16" x14ac:dyDescent="0.25">
      <c r="A68">
        <f>IF($C68="","",ROW()-2)</f>
      </c>
      <c r="B68" s="8">
        <f>IFERROR(INDEX('👥 Estudiantes'!$B$3:$B$200,MATCH($C68,'👥 Estudiantes'!$C$3:$C$200,0)),"")</f>
      </c>
      <c r="C68" s="9" t="s">
        <v>301</v>
      </c>
      <c r="D68" s="10">
        <f>IFERROR(INDEX('👥 Estudiantes'!$D$3:$D$200,MATCH($C68,'👥 Estudiantes'!$C$3:$C$200,0)),"")</f>
      </c>
      <c r="E68" s="10">
        <f>IFERROR(INDEX('👥 Estudiantes'!$E$3:$E$200,MATCH($C68,'👥 Estudiantes'!$C$3:$C$200,0)),"")</f>
      </c>
      <c r="F68" s="9" t="s">
        <v>703</v>
      </c>
      <c r="G68" s="10">
        <f>IFERROR(INDEX('🏢 Empresas'!$C$3:$C$200,MATCH($F68,'🏢 Empresas'!$B$3:$B$200,0)),"")</f>
      </c>
      <c r="H68" s="10">
        <f>IFERROR(INDEX('🏢 Empresas'!$D$3:$D$200,MATCH($F68,'🏢 Empresas'!$B$3:$B$200,0)),"")</f>
      </c>
      <c r="I68" s="10">
        <f>IFERROR(INDEX('🏢 Empresas'!$E$3:$E$200,MATCH($F68,'🏢 Empresas'!$B$3:$B$200,0)),"")</f>
      </c>
      <c r="J68" s="10">
        <f>IFERROR(INDEX('🏢 Empresas'!$F$3:$F$200,MATCH($F68,'🏢 Empresas'!$B$3:$B$200,0)),"")</f>
      </c>
      <c r="K68" s="9" t="s">
        <v>909</v>
      </c>
      <c r="L68" s="10">
        <f>IFERROR(INDEX('👥 Estudiantes'!$G$3:$G$200,MATCH($C68,'👥 Estudiantes'!$C$3:$C$200,0)),"")</f>
      </c>
      <c r="M68" s="10">
        <f>IFERROR(INDEX('👥 Estudiantes'!$H$3:$H$200,MATCH($C68,'👥 Estudiantes'!$C$3:$C$200,0)),"")</f>
      </c>
      <c r="N68" s="10">
        <f>IFERROR(INDEX('👥 Estudiantes'!$I$3:$I$200,MATCH($C68,'👥 Estudiantes'!$C$3:$C$200,0)),"")</f>
      </c>
      <c r="O68" s="10">
        <f>IFERROR(INDEX('👥 Estudiantes'!$J$3:$J$200,MATCH($C68,'👥 Estudiantes'!$C$3:$C$200,0)),"")</f>
      </c>
      <c r="P68" s="9" t="s">
        <v>921</v>
      </c>
    </row>
    <row r="69" spans="1:16" x14ac:dyDescent="0.25">
      <c r="A69">
        <f>IF($C69="","",ROW()-2)</f>
      </c>
      <c r="B69" s="8">
        <f>IFERROR(INDEX('👥 Estudiantes'!$B$3:$B$200,MATCH($C69,'👥 Estudiantes'!$C$3:$C$200,0)),"")</f>
      </c>
      <c r="C69" s="9" t="s">
        <v>305</v>
      </c>
      <c r="D69" s="10">
        <f>IFERROR(INDEX('👥 Estudiantes'!$D$3:$D$200,MATCH($C69,'👥 Estudiantes'!$C$3:$C$200,0)),"")</f>
      </c>
      <c r="E69" s="10">
        <f>IFERROR(INDEX('👥 Estudiantes'!$E$3:$E$200,MATCH($C69,'👥 Estudiantes'!$C$3:$C$200,0)),"")</f>
      </c>
      <c r="F69" s="9" t="s">
        <v>846</v>
      </c>
      <c r="G69" s="10">
        <f>IFERROR(INDEX('🏢 Empresas'!$C$3:$C$200,MATCH($F69,'🏢 Empresas'!$B$3:$B$200,0)),"")</f>
      </c>
      <c r="H69" s="10">
        <f>IFERROR(INDEX('🏢 Empresas'!$D$3:$D$200,MATCH($F69,'🏢 Empresas'!$B$3:$B$200,0)),"")</f>
      </c>
      <c r="I69" s="10">
        <f>IFERROR(INDEX('🏢 Empresas'!$E$3:$E$200,MATCH($F69,'🏢 Empresas'!$B$3:$B$200,0)),"")</f>
      </c>
      <c r="J69" s="10">
        <f>IFERROR(INDEX('🏢 Empresas'!$F$3:$F$200,MATCH($F69,'🏢 Empresas'!$B$3:$B$200,0)),"")</f>
      </c>
      <c r="K69" s="9" t="s">
        <v>901</v>
      </c>
      <c r="L69" s="10">
        <f>IFERROR(INDEX('👥 Estudiantes'!$G$3:$G$200,MATCH($C69,'👥 Estudiantes'!$C$3:$C$200,0)),"")</f>
      </c>
      <c r="M69" s="10">
        <f>IFERROR(INDEX('👥 Estudiantes'!$H$3:$H$200,MATCH($C69,'👥 Estudiantes'!$C$3:$C$200,0)),"")</f>
      </c>
      <c r="N69" s="10">
        <f>IFERROR(INDEX('👥 Estudiantes'!$I$3:$I$200,MATCH($C69,'👥 Estudiantes'!$C$3:$C$200,0)),"")</f>
      </c>
      <c r="O69" s="10">
        <f>IFERROR(INDEX('👥 Estudiantes'!$J$3:$J$200,MATCH($C69,'👥 Estudiantes'!$C$3:$C$200,0)),"")</f>
      </c>
      <c r="P69" s="9" t="s">
        <v>918</v>
      </c>
    </row>
    <row r="70" spans="1:16" x14ac:dyDescent="0.25">
      <c r="A70">
        <f>IF($C70="","",ROW()-2)</f>
      </c>
      <c r="B70" s="8">
        <f>IFERROR(INDEX('👥 Estudiantes'!$B$3:$B$200,MATCH($C70,'👥 Estudiantes'!$C$3:$C$200,0)),"")</f>
      </c>
      <c r="C70" s="9" t="s">
        <v>309</v>
      </c>
      <c r="D70" s="10">
        <f>IFERROR(INDEX('👥 Estudiantes'!$D$3:$D$200,MATCH($C70,'👥 Estudiantes'!$C$3:$C$200,0)),"")</f>
      </c>
      <c r="E70" s="10">
        <f>IFERROR(INDEX('👥 Estudiantes'!$E$3:$E$200,MATCH($C70,'👥 Estudiantes'!$C$3:$C$200,0)),"")</f>
      </c>
      <c r="F70" s="9" t="s">
        <v>654</v>
      </c>
      <c r="G70" s="10">
        <f>IFERROR(INDEX('🏢 Empresas'!$C$3:$C$200,MATCH($F70,'🏢 Empresas'!$B$3:$B$200,0)),"")</f>
      </c>
      <c r="H70" s="10">
        <f>IFERROR(INDEX('🏢 Empresas'!$D$3:$D$200,MATCH($F70,'🏢 Empresas'!$B$3:$B$200,0)),"")</f>
      </c>
      <c r="I70" s="10">
        <f>IFERROR(INDEX('🏢 Empresas'!$E$3:$E$200,MATCH($F70,'🏢 Empresas'!$B$3:$B$200,0)),"")</f>
      </c>
      <c r="J70" s="10">
        <f>IFERROR(INDEX('🏢 Empresas'!$F$3:$F$200,MATCH($F70,'🏢 Empresas'!$B$3:$B$200,0)),"")</f>
      </c>
      <c r="K70" s="9" t="s">
        <v>898</v>
      </c>
      <c r="L70" s="10">
        <f>IFERROR(INDEX('👥 Estudiantes'!$G$3:$G$200,MATCH($C70,'👥 Estudiantes'!$C$3:$C$200,0)),"")</f>
      </c>
      <c r="M70" s="10">
        <f>IFERROR(INDEX('👥 Estudiantes'!$H$3:$H$200,MATCH($C70,'👥 Estudiantes'!$C$3:$C$200,0)),"")</f>
      </c>
      <c r="N70" s="10">
        <f>IFERROR(INDEX('👥 Estudiantes'!$I$3:$I$200,MATCH($C70,'👥 Estudiantes'!$C$3:$C$200,0)),"")</f>
      </c>
      <c r="O70" s="10">
        <f>IFERROR(INDEX('👥 Estudiantes'!$J$3:$J$200,MATCH($C70,'👥 Estudiantes'!$C$3:$C$200,0)),"")</f>
      </c>
      <c r="P70" s="9" t="s">
        <v>923</v>
      </c>
    </row>
    <row r="71" spans="1:16" x14ac:dyDescent="0.25">
      <c r="A71">
        <f>IF($C71="","",ROW()-2)</f>
      </c>
      <c r="B71" s="8">
        <f>IFERROR(INDEX('👥 Estudiantes'!$B$3:$B$200,MATCH($C71,'👥 Estudiantes'!$C$3:$C$200,0)),"")</f>
      </c>
      <c r="C71" s="9" t="s">
        <v>313</v>
      </c>
      <c r="D71" s="10">
        <f>IFERROR(INDEX('👥 Estudiantes'!$D$3:$D$200,MATCH($C71,'👥 Estudiantes'!$C$3:$C$200,0)),"")</f>
      </c>
      <c r="E71" s="10">
        <f>IFERROR(INDEX('👥 Estudiantes'!$E$3:$E$200,MATCH($C71,'👥 Estudiantes'!$C$3:$C$200,0)),"")</f>
      </c>
      <c r="F71" s="9" t="s">
        <v>708</v>
      </c>
      <c r="G71" s="10">
        <f>IFERROR(INDEX('🏢 Empresas'!$C$3:$C$200,MATCH($F71,'🏢 Empresas'!$B$3:$B$200,0)),"")</f>
      </c>
      <c r="H71" s="10">
        <f>IFERROR(INDEX('🏢 Empresas'!$D$3:$D$200,MATCH($F71,'🏢 Empresas'!$B$3:$B$200,0)),"")</f>
      </c>
      <c r="I71" s="10">
        <f>IFERROR(INDEX('�� Empresas'!$E$3:$E$200,MATCH($F71,'🏢 Empresas'!$B$3:$B$200,0)),"")</f>
      </c>
      <c r="J71" s="10">
        <f>IFERROR(INDEX('🏢 Empresas'!$F$3:$F$200,MATCH($F71,'🏢 Empresas'!$B$3:$B$200,0)),"")</f>
      </c>
      <c r="K71" s="9" t="s">
        <v>902</v>
      </c>
      <c r="L71" s="10">
        <f>IFERROR(INDEX('👥 Estudiantes'!$G$3:$G$200,MATCH($C71,'👥 Estudiantes'!$C$3:$C$200,0)),"")</f>
      </c>
      <c r="M71" s="10">
        <f>IFERROR(INDEX('👥 Estudiantes'!$H$3:$H$200,MATCH($C71,'👥 Estudiantes'!$C$3:$C$200,0)),"")</f>
      </c>
      <c r="N71" s="10">
        <f>IFERROR(INDEX('👥 Estudiantes'!$I$3:$I$200,MATCH($C71,'👥 Estudiantes'!$C$3:$C$200,0)),"")</f>
      </c>
      <c r="O71" s="10">
        <f>IFERROR(INDEX('👥 Estudiantes'!$J$3:$J$200,MATCH($C71,'👥 Estudiantes'!$C$3:$C$200,0)),"")</f>
      </c>
      <c r="P71" s="9" t="s">
        <v>919</v>
      </c>
    </row>
    <row r="72" spans="1:16" x14ac:dyDescent="0.25">
      <c r="A72">
        <f>IF($C72="","",ROW()-2)</f>
      </c>
      <c r="B72" s="8">
        <f>IFERROR(INDEX('👥 Estudiantes'!$B$3:$B$200,MATCH($C72,'👥 Estudiantes'!$C$3:$C$200,0)),"")</f>
      </c>
      <c r="C72" s="9" t="s">
        <v>317</v>
      </c>
      <c r="D72" s="10">
        <f>IFERROR(INDEX('👥 Estudiantes'!$D$3:$D$200,MATCH($C72,'👥 Estudiantes'!$C$3:$C$200,0)),"")</f>
      </c>
      <c r="E72" s="10">
        <f>IFERROR(INDEX('👥 Estudiantes'!$E$3:$E$200,MATCH($C72,'👥 Estudiantes'!$C$3:$C$200,0)),"")</f>
      </c>
      <c r="F72" s="9" t="s">
        <v>813</v>
      </c>
      <c r="G72" s="10">
        <f>IFERROR(INDEX('🏢 Empresas'!$C$3:$C$200,MATCH($F72,'🏢 Empresas'!$B$3:$B$200,0)),"")</f>
      </c>
      <c r="H72" s="10">
        <f>IFERROR(INDEX('🏢 Empresas'!$D$3:$D$200,MATCH($F72,'🏢 Empresas'!$B$3:$B$200,0)),"")</f>
      </c>
      <c r="I72" s="10">
        <f>IFERROR(INDEX('🏢 Empresas'!$E$3:$E$200,MATCH($F72,'🏢 Empresas'!$B$3:$B$200,0)),"")</f>
      </c>
      <c r="J72" s="10">
        <f>IFERROR(INDEX('🏢 Empresas'!$F$3:$F$200,MATCH($F72,'🏢 Empresas'!$B$3:$B$200,0)),"")</f>
      </c>
      <c r="K72" s="9" t="s">
        <v>900</v>
      </c>
      <c r="L72" s="10">
        <f>IFERROR(INDEX('👥 Estudiantes'!$G$3:$G$200,MATCH($C72,'👥 Estudiantes'!$C$3:$C$200,0)),"")</f>
      </c>
      <c r="M72" s="10">
        <f>IFERROR(INDEX('👥 Estudiantes'!$H$3:$H$200,MATCH($C72,'👥 Estudiantes'!$C$3:$C$200,0)),"")</f>
      </c>
      <c r="N72" s="10">
        <f>IFERROR(INDEX('👥 Estudiantes'!$I$3:$I$200,MATCH($C72,'👥 Estudiantes'!$C$3:$C$200,0)),"")</f>
      </c>
      <c r="O72" s="10">
        <f>IFERROR(INDEX('👥 Estudiantes'!$J$3:$J$200,MATCH($C72,'👥 Estudiantes'!$C$3:$C$200,0)),"")</f>
      </c>
      <c r="P72" s="9" t="s">
        <v>917</v>
      </c>
    </row>
    <row r="73" spans="1:16" x14ac:dyDescent="0.25">
      <c r="A73">
        <f>IF($C73="","",ROW()-2)</f>
      </c>
      <c r="B73" s="8">
        <f>IFERROR(INDEX('👥 Estudiantes'!$B$3:$B$200,MATCH($C73,'👥 Estudiantes'!$C$3:$C$200,0)),"")</f>
      </c>
      <c r="C73" s="9" t="s">
        <v>321</v>
      </c>
      <c r="D73" s="10">
        <f>IFERROR(INDEX('👥 Estudiantes'!$D$3:$D$200,MATCH($C73,'👥 Estudiantes'!$C$3:$C$200,0)),"")</f>
      </c>
      <c r="E73" s="10">
        <f>IFERROR(INDEX('👥 Estudiantes'!$E$3:$E$200,MATCH($C73,'👥 Estudiantes'!$C$3:$C$200,0)),"")</f>
      </c>
      <c r="F73" s="9" t="s">
        <v>757</v>
      </c>
      <c r="G73" s="10">
        <f>IFERROR(INDEX('🏢 Empresas'!$C$3:$C$200,MATCH($F73,'🏢 Empresas'!$B$3:$B$200,0)),"")</f>
      </c>
      <c r="H73" s="10">
        <f>IFERROR(INDEX('🏢 Empresas'!$D$3:$D$200,MATCH($F73,'🏢 Empresas'!$B$3:$B$200,0)),"")</f>
      </c>
      <c r="I73" s="10">
        <f>IFERROR(INDEX('🏢 Empresas'!$E$3:$E$200,MATCH($F73,'🏢 Empresas'!$B$3:$B$200,0)),"")</f>
      </c>
      <c r="J73" s="10">
        <f>IFERROR(INDEX('🏢 Empresas'!$F$3:$F$200,MATCH($F73,'🏢 Empresas'!$B$3:$B$200,0)),"")</f>
      </c>
      <c r="K73" s="9" t="s">
        <v>905</v>
      </c>
      <c r="L73" s="10">
        <f>IFERROR(INDEX('👥 Estudiantes'!$G$3:$G$200,MATCH($C73,'👥 Estudiantes'!$C$3:$C$200,0)),"")</f>
      </c>
      <c r="M73" s="10">
        <f>IFERROR(INDEX('👥 Estudiantes'!$H$3:$H$200,MATCH($C73,'👥 Estudiantes'!$C$3:$C$200,0)),"")</f>
      </c>
      <c r="N73" s="10">
        <f>IFERROR(INDEX('👥 Estudiantes'!$I$3:$I$200,MATCH($C73,'👥 Estudiantes'!$C$3:$C$200,0)),"")</f>
      </c>
      <c r="O73" s="10">
        <f>IFERROR(INDEX('👥 Estudiantes'!$J$3:$J$200,MATCH($C73,'👥 Estudiantes'!$C$3:$C$200,0)),"")</f>
      </c>
      <c r="P73" s="9" t="s">
        <v>919</v>
      </c>
    </row>
    <row r="74" spans="1:16" x14ac:dyDescent="0.25">
      <c r="A74">
        <f>IF($C74="","",ROW()-2)</f>
      </c>
      <c r="B74" s="8">
        <f>IFERROR(INDEX('👥 Estudiantes'!$B$3:$B$200,MATCH($C74,'👥 Estudiantes'!$C$3:$C$200,0)),"")</f>
      </c>
      <c r="C74" s="9" t="s">
        <v>325</v>
      </c>
      <c r="D74" s="10">
        <f>IFERROR(INDEX('👥 Estudiantes'!$D$3:$D$200,MATCH($C74,'👥 Estudiantes'!$C$3:$C$200,0)),"")</f>
      </c>
      <c r="E74" s="10">
        <f>IFERROR(INDEX('👥 Estudiantes'!$E$3:$E$200,MATCH($C74,'👥 Estudiantes'!$C$3:$C$200,0)),"")</f>
      </c>
      <c r="F74" s="9" t="s">
        <v>798</v>
      </c>
      <c r="G74" s="10">
        <f>IFERROR(INDEX('🏢 Empresas'!$C$3:$C$200,MATCH($F74,'🏢 Empresas'!$B$3:$B$200,0)),"")</f>
      </c>
      <c r="H74" s="10">
        <f>IFERROR(INDEX('🏢 Empresas'!$D$3:$D$200,MATCH($F74,'🏢 Empresas'!$B$3:$B$200,0)),"")</f>
      </c>
      <c r="I74" s="10">
        <f>IFERROR(INDEX('🏢 Empresas'!$E$3:$E$200,MATCH($F74,'🏢 Empresas'!$B$3:$B$200,0)),"")</f>
      </c>
      <c r="J74" s="10">
        <f>IFERROR(INDEX('🏢 Empresas'!$F$3:$F$200,MATCH($F74,'🏢 Empresas'!$B$3:$B$200,0)),"")</f>
      </c>
      <c r="K74" s="9" t="s">
        <v>903</v>
      </c>
      <c r="L74" s="10">
        <f>IFERROR(INDEX('👥 Estudiantes'!$G$3:$G$200,MATCH($C74,'👥 Estudiantes'!$C$3:$C$200,0)),"")</f>
      </c>
      <c r="M74" s="10">
        <f>IFERROR(INDEX('👥 Estudiantes'!$H$3:$H$200,MATCH($C74,'👥 Estudiantes'!$C$3:$C$200,0)),"")</f>
      </c>
      <c r="N74" s="10">
        <f>IFERROR(INDEX('👥 Estudiantes'!$I$3:$I$200,MATCH($C74,'👥 Estudiantes'!$C$3:$C$200,0)),"")</f>
      </c>
      <c r="O74" s="10">
        <f>IFERROR(INDEX('👥 Estudiantes'!$J$3:$J$200,MATCH($C74,'👥 Estudiantes'!$C$3:$C$200,0)),"")</f>
      </c>
      <c r="P74" s="9" t="s">
        <v>919</v>
      </c>
    </row>
    <row r="75" spans="1:16" x14ac:dyDescent="0.25">
      <c r="A75">
        <f>IF($C75="","",ROW()-2)</f>
      </c>
      <c r="B75" s="8">
        <f>IFERROR(INDEX('👥 Estudiantes'!$B$3:$B$200,MATCH($C75,'👥 Estudiantes'!$C$3:$C$200,0)),"")</f>
      </c>
      <c r="C75" s="9" t="s">
        <v>329</v>
      </c>
      <c r="D75" s="10">
        <f>IFERROR(INDEX('👥 Estudiantes'!$D$3:$D$200,MATCH($C75,'👥 Estudiantes'!$C$3:$C$200,0)),"")</f>
      </c>
      <c r="E75" s="10">
        <f>IFERROR(INDEX('👥 Estudiantes'!$E$3:$E$200,MATCH($C75,'👥 Estudiantes'!$C$3:$C$200,0)),"")</f>
      </c>
      <c r="F75" s="9" t="s">
        <v>813</v>
      </c>
      <c r="G75" s="10">
        <f>IFERROR(INDEX('🏢 Empresas'!$C$3:$C$200,MATCH($F75,'🏢 Empresas'!$B$3:$B$200,0)),"")</f>
      </c>
      <c r="H75" s="10">
        <f>IFERROR(INDEX('🏢 Empresas'!$D$3:$D$200,MATCH($F75,'🏢 Empresas'!$B$3:$B$200,0)),"")</f>
      </c>
      <c r="I75" s="10">
        <f>IFERROR(INDEX('🏢 Empresas'!$E$3:$E$200,MATCH($F75,'🏢 Empresas'!$B$3:$B$200,0)),"")</f>
      </c>
      <c r="J75" s="10">
        <f>IFERROR(INDEX('🏢 Empresas'!$F$3:$F$200,MATCH($F75,'🏢 Empresas'!$B$3:$B$200,0)),"")</f>
      </c>
      <c r="K75" s="9" t="s">
        <v>900</v>
      </c>
      <c r="L75" s="10">
        <f>IFERROR(INDEX('👥 Estudiantes'!$G$3:$G$200,MATCH($C75,'👥 Estudiantes'!$C$3:$C$200,0)),"")</f>
      </c>
      <c r="M75" s="10">
        <f>IFERROR(INDEX('👥 Estudiantes'!$H$3:$H$200,MATCH($C75,'👥 Estudiantes'!$C$3:$C$200,0)),"")</f>
      </c>
      <c r="N75" s="10">
        <f>IFERROR(INDEX('👥 Estudiantes'!$I$3:$I$200,MATCH($C75,'👥 Estudiantes'!$C$3:$C$200,0)),"")</f>
      </c>
      <c r="O75" s="10">
        <f>IFERROR(INDEX('👥 Estudiantes'!$J$3:$J$200,MATCH($C75,'👥 Estudiantes'!$C$3:$C$200,0)),"")</f>
      </c>
      <c r="P75" s="9" t="s">
        <v>918</v>
      </c>
    </row>
    <row r="76" spans="1:16" x14ac:dyDescent="0.25">
      <c r="A76">
        <f>IF($C76="","",ROW()-2)</f>
      </c>
      <c r="B76" s="8">
        <f>IFERROR(INDEX('👥 Estudiantes'!$B$3:$B$200,MATCH($C76,'👥 Estudiantes'!$C$3:$C$200,0)),"")</f>
      </c>
      <c r="C76" s="9" t="s">
        <v>333</v>
      </c>
      <c r="D76" s="10">
        <f>IFERROR(INDEX('👥 Estudiantes'!$D$3:$D$200,MATCH($C76,'👥 Estudiantes'!$C$3:$C$200,0)),"")</f>
      </c>
      <c r="E76" s="10">
        <f>IFERROR(INDEX('👥 Estudiantes'!$E$3:$E$200,MATCH($C76,'👥 Estudiantes'!$C$3:$C$200,0)),"")</f>
      </c>
      <c r="F76" s="9" t="s">
        <v>613</v>
      </c>
      <c r="G76" s="10">
        <f>IFERROR(INDEX('🏢 Empresas'!$C$3:$C$200,MATCH($F76,'🏢 Empresas'!$B$3:$B$200,0)),"")</f>
      </c>
      <c r="H76" s="10">
        <f>IFERROR(INDEX('🏢 Empresas'!$D$3:$D$200,MATCH($F76,'🏢 Empresas'!$B$3:$B$200,0)),"")</f>
      </c>
      <c r="I76" s="10">
        <f>IFERROR(INDEX('🏢 Empresas'!$E$3:$E$200,MATCH($F76,'🏢 Empresas'!$B$3:$B$200,0)),"")</f>
      </c>
      <c r="J76" s="10">
        <f>IFERROR(INDEX('🏢 Empresas'!$F$3:$F$200,MATCH($F76,'🏢 Empresas'!$B$3:$B$200,0)),"")</f>
      </c>
      <c r="K76" s="9" t="s">
        <v>898</v>
      </c>
      <c r="L76" s="10">
        <f>IFERROR(INDEX('👥 Estudiantes'!$G$3:$G$200,MATCH($C76,'👥 Estudiantes'!$C$3:$C$200,0)),"")</f>
      </c>
      <c r="M76" s="10">
        <f>IFERROR(INDEX('👥 Estudiantes'!$H$3:$H$200,MATCH($C76,'👥 Estudiantes'!$C$3:$C$200,0)),"")</f>
      </c>
      <c r="N76" s="10">
        <f>IFERROR(INDEX('👥 Estudiantes'!$I$3:$I$200,MATCH($C76,'👥 Estudiantes'!$C$3:$C$200,0)),"")</f>
      </c>
      <c r="O76" s="10">
        <f>IFERROR(INDEX('👥 Estudiantes'!$J$3:$J$200,MATCH($C76,'👥 Estudiantes'!$C$3:$C$200,0)),"")</f>
      </c>
      <c r="P76" s="9" t="s">
        <v>923</v>
      </c>
    </row>
    <row r="77" spans="1:16" x14ac:dyDescent="0.25">
      <c r="A77">
        <f>IF($C77="","",ROW()-2)</f>
      </c>
      <c r="B77" s="8">
        <f>IFERROR(INDEX('👥 Estudiantes'!$B$3:$B$200,MATCH($C77,'👥 Estudiantes'!$C$3:$C$200,0)),"")</f>
      </c>
      <c r="C77" s="9" t="s">
        <v>337</v>
      </c>
      <c r="D77" s="10">
        <f>IFERROR(INDEX('👥 Estudiantes'!$D$3:$D$200,MATCH($C77,'👥 Estudiantes'!$C$3:$C$200,0)),"")</f>
      </c>
      <c r="E77" s="10">
        <f>IFERROR(INDEX('👥 Estudiantes'!$E$3:$E$200,MATCH($C77,'👥 Estudiantes'!$C$3:$C$200,0)),"")</f>
      </c>
      <c r="F77" s="9" t="s">
        <v>890</v>
      </c>
      <c r="G77" s="10">
        <f>IFERROR(INDEX('🏢 Empresas'!$C$3:$C$200,MATCH($F77,'🏢 Empresas'!$B$3:$B$200,0)),"")</f>
      </c>
      <c r="H77" s="10">
        <f>IFERROR(INDEX('🏢 Empresas'!$D$3:$D$200,MATCH($F77,'🏢 Empresas'!$B$3:$B$200,0)),"")</f>
      </c>
      <c r="I77" s="10">
        <f>IFERROR(INDEX('🏢 Empresas'!$E$3:$E$200,MATCH($F77,'🏢 Empresas'!$B$3:$B$200,0)),"")</f>
      </c>
      <c r="J77" s="10">
        <f>IFERROR(INDEX('🏢 Empresas'!$F$3:$F$200,MATCH($F77,'🏢 Empresas'!$B$3:$B$200,0)),"")</f>
      </c>
      <c r="K77" s="9" t="s">
        <v>903</v>
      </c>
      <c r="L77" s="10">
        <f>IFERROR(INDEX('👥 Estudiantes'!$G$3:$G$200,MATCH($C77,'👥 Estudiantes'!$C$3:$C$200,0)),"")</f>
      </c>
      <c r="M77" s="10">
        <f>IFERROR(INDEX('👥 Estudiantes'!$H$3:$H$200,MATCH($C77,'👥 Estudiantes'!$C$3:$C$200,0)),"")</f>
      </c>
      <c r="N77" s="10">
        <f>IFERROR(INDEX('👥 Estudiantes'!$I$3:$I$200,MATCH($C77,'👥 Estudiantes'!$C$3:$C$200,0)),"")</f>
      </c>
      <c r="O77" s="10">
        <f>IFERROR(INDEX('👥 Estudiantes'!$J$3:$J$200,MATCH($C77,'👥 Estudiantes'!$C$3:$C$200,0)),"")</f>
      </c>
      <c r="P77" s="9" t="s">
        <v>919</v>
      </c>
    </row>
    <row r="78" spans="1:16" x14ac:dyDescent="0.25">
      <c r="A78">
        <f>IF($C78="","",ROW()-2)</f>
      </c>
      <c r="B78" s="8">
        <f>IFERROR(INDEX('👥 Estudiantes'!$B$3:$B$200,MATCH($C78,'👥 Estudiantes'!$C$3:$C$200,0)),"")</f>
      </c>
      <c r="C78" s="9" t="s">
        <v>341</v>
      </c>
      <c r="D78" s="10">
        <f>IFERROR(INDEX('👥 Estudiantes'!$D$3:$D$200,MATCH($C78,'👥 Estudiantes'!$C$3:$C$200,0)),"")</f>
      </c>
      <c r="E78" s="10">
        <f>IFERROR(INDEX('👥 Estudiantes'!$E$3:$E$200,MATCH($C78,'👥 Estudiantes'!$C$3:$C$200,0)),"")</f>
      </c>
      <c r="F78" s="9" t="s">
        <v>713</v>
      </c>
      <c r="G78" s="10">
        <f>IFERROR(INDEX('🏢 Empresas'!$C$3:$C$200,MATCH($F78,'🏢 Empresas'!$B$3:$B$200,0)),"")</f>
      </c>
      <c r="H78" s="10">
        <f>IFERROR(INDEX('🏢 Empresas'!$D$3:$D$200,MATCH($F78,'🏢 Empresas'!$B$3:$B$200,0)),"")</f>
      </c>
      <c r="I78" s="10">
        <f>IFERROR(INDEX('🏢 Empresas'!$E$3:$E$200,MATCH($F78,'🏢 Empresas'!$B$3:$B$200,0)),"")</f>
      </c>
      <c r="J78" s="10">
        <f>IFERROR(INDEX('🏢 Empresas'!$F$3:$F$200,MATCH($F78,'🏢 Empresas'!$B$3:$B$200,0)),"")</f>
      </c>
      <c r="K78" s="9" t="s">
        <v>900</v>
      </c>
      <c r="L78" s="10">
        <f>IFERROR(INDEX('👥 Estudiantes'!$G$3:$G$200,MATCH($C78,'👥 Estudiantes'!$C$3:$C$200,0)),"")</f>
      </c>
      <c r="M78" s="10">
        <f>IFERROR(INDEX('👥 Estudiantes'!$H$3:$H$200,MATCH($C78,'👥 Estudiantes'!$C$3:$C$200,0)),"")</f>
      </c>
      <c r="N78" s="10">
        <f>IFERROR(INDEX('👥 Estudiantes'!$I$3:$I$200,MATCH($C78,'👥 Estudiantes'!$C$3:$C$200,0)),"")</f>
      </c>
      <c r="O78" s="10">
        <f>IFERROR(INDEX('👥 Estudiantes'!$J$3:$J$200,MATCH($C78,'👥 Estudiantes'!$C$3:$C$200,0)),"")</f>
      </c>
      <c r="P78" s="9" t="s">
        <v>916</v>
      </c>
    </row>
    <row r="79" spans="1:16" x14ac:dyDescent="0.25">
      <c r="A79">
        <f>IF($C79="","",ROW()-2)</f>
      </c>
      <c r="B79" s="8">
        <f>IFERROR(INDEX('👥 Estudiantes'!$B$3:$B$200,MATCH($C79,'👥 Estudiantes'!$C$3:$C$200,0)),"")</f>
      </c>
      <c r="C79" s="9" t="s">
        <v>345</v>
      </c>
      <c r="D79" s="10">
        <f>IFERROR(INDEX('👥 Estudiantes'!$D$3:$D$200,MATCH($C79,'👥 Estudiantes'!$C$3:$C$200,0)),"")</f>
      </c>
      <c r="E79" s="10">
        <f>IFERROR(INDEX('👥 Estudiantes'!$E$3:$E$200,MATCH($C79,'👥 Estudiantes'!$C$3:$C$200,0)),"")</f>
      </c>
      <c r="F79" s="9" t="s">
        <v>613</v>
      </c>
      <c r="G79" s="10">
        <f>IFERROR(INDEX('🏢 Empresas'!$C$3:$C$200,MATCH($F79,'🏢 Empresas'!$B$3:$B$200,0)),"")</f>
      </c>
      <c r="H79" s="10">
        <f>IFERROR(INDEX('🏢 Empresas'!$D$3:$D$200,MATCH($F79,'🏢 Empresas'!$B$3:$B$200,0)),"")</f>
      </c>
      <c r="I79" s="10">
        <f>IFERROR(INDEX('🏢 Empresas'!$E$3:$E$200,MATCH($F79,'🏢 Empresas'!$B$3:$B$200,0)),"")</f>
      </c>
      <c r="J79" s="10">
        <f>IFERROR(INDEX('🏢 Empresas'!$F$3:$F$200,MATCH($F79,'🏢 Empresas'!$B$3:$B$200,0)),"")</f>
      </c>
      <c r="K79" s="9" t="s">
        <v>898</v>
      </c>
      <c r="L79" s="10">
        <f>IFERROR(INDEX('👥 Estudiantes'!$G$3:$G$200,MATCH($C79,'👥 Estudiantes'!$C$3:$C$200,0)),"")</f>
      </c>
      <c r="M79" s="10">
        <f>IFERROR(INDEX('👥 Estudiantes'!$H$3:$H$200,MATCH($C79,'👥 Estudiantes'!$C$3:$C$200,0)),"")</f>
      </c>
      <c r="N79" s="10">
        <f>IFERROR(INDEX('👥 Estudiantes'!$I$3:$I$200,MATCH($C79,'👥 Estudiantes'!$C$3:$C$200,0)),"")</f>
      </c>
      <c r="O79" s="10">
        <f>IFERROR(INDEX('👥 Estudiantes'!$J$3:$J$200,MATCH($C79,'👥 Estudiantes'!$C$3:$C$200,0)),"")</f>
      </c>
      <c r="P79" s="9" t="s">
        <v>923</v>
      </c>
    </row>
    <row r="80" spans="1:16" x14ac:dyDescent="0.25">
      <c r="A80">
        <f>IF($C80="","",ROW()-2)</f>
      </c>
      <c r="B80" s="8">
        <f>IFERROR(INDEX('👥 Estudiantes'!$B$3:$B$200,MATCH($C80,'👥 Estudiantes'!$C$3:$C$200,0)),"")</f>
      </c>
      <c r="C80" s="9" t="s">
        <v>349</v>
      </c>
      <c r="D80" s="10">
        <f>IFERROR(INDEX('👥 Estudiantes'!$D$3:$D$200,MATCH($C80,'👥 Estudiantes'!$C$3:$C$200,0)),"")</f>
      </c>
      <c r="E80" s="10">
        <f>IFERROR(INDEX('👥 Estudiantes'!$E$3:$E$200,MATCH($C80,'👥 Estudiantes'!$C$3:$C$200,0)),"")</f>
      </c>
      <c r="F80" s="9" t="s">
        <v>773</v>
      </c>
      <c r="G80" s="10">
        <f>IFERROR(INDEX('🏢 Empresas'!$C$3:$C$200,MATCH($F80,'🏢 Empresas'!$B$3:$B$200,0)),"")</f>
      </c>
      <c r="H80" s="10">
        <f>IFERROR(INDEX('🏢 Empresas'!$D$3:$D$200,MATCH($F80,'🏢 Empresas'!$B$3:$B$200,0)),"")</f>
      </c>
      <c r="I80" s="10">
        <f>IFERROR(INDEX('🏢 Empresas'!$E$3:$E$200,MATCH($F80,'🏢 Empresas'!$B$3:$B$200,0)),"")</f>
      </c>
      <c r="J80" s="10">
        <f>IFERROR(INDEX('🏢 Empresas'!$F$3:$F$200,MATCH($F80,'🏢 Empresas'!$B$3:$B$200,0)),"")</f>
      </c>
      <c r="K80" s="9" t="s">
        <v>908</v>
      </c>
      <c r="L80" s="10">
        <f>IFERROR(INDEX('👥 Estudiantes'!$G$3:$G$200,MATCH($C80,'👥 Estudiantes'!$C$3:$C$200,0)),"")</f>
      </c>
      <c r="M80" s="10">
        <f>IFERROR(INDEX('👥 Estudiantes'!$H$3:$H$200,MATCH($C80,'👥 Estudiantes'!$C$3:$C$200,0)),"")</f>
      </c>
      <c r="N80" s="10">
        <f>IFERROR(INDEX('👥 Estudiantes'!$I$3:$I$200,MATCH($C80,'👥 Estudiantes'!$C$3:$C$200,0)),"")</f>
      </c>
      <c r="O80" s="10">
        <f>IFERROR(INDEX('👥 Estudiantes'!$J$3:$J$200,MATCH($C80,'👥 Estudiantes'!$C$3:$C$200,0)),"")</f>
      </c>
      <c r="P80" s="9" t="s">
        <v>917</v>
      </c>
    </row>
    <row r="81" spans="1:16" x14ac:dyDescent="0.25">
      <c r="A81">
        <f>IF($C81="","",ROW()-2)</f>
      </c>
      <c r="B81" s="8">
        <f>IFERROR(INDEX('👥 Estudiantes'!$B$3:$B$200,MATCH($C81,'👥 Estudiantes'!$C$3:$C$200,0)),"")</f>
      </c>
      <c r="C81" s="9" t="s">
        <v>353</v>
      </c>
      <c r="D81" s="10">
        <f>IFERROR(INDEX('👥 Estudiantes'!$D$3:$D$200,MATCH($C81,'👥 Estudiantes'!$C$3:$C$200,0)),"")</f>
      </c>
      <c r="E81" s="10">
        <f>IFERROR(INDEX('👥 Estudiantes'!$E$3:$E$200,MATCH($C81,'👥 Estudiantes'!$C$3:$C$200,0)),"")</f>
      </c>
      <c r="F81" s="9" t="s">
        <v>873</v>
      </c>
      <c r="G81" s="10">
        <f>IFERROR(INDEX('🏢 Empresas'!$C$3:$C$200,MATCH($F81,'🏢 Empresas'!$B$3:$B$200,0)),"")</f>
      </c>
      <c r="H81" s="10">
        <f>IFERROR(INDEX('🏢 Empresas'!$D$3:$D$200,MATCH($F81,'🏢 Empresas'!$B$3:$B$200,0)),"")</f>
      </c>
      <c r="I81" s="10">
        <f>IFERROR(INDEX('🏢 Empresas'!$E$3:$E$200,MATCH($F81,'🏢 Empresas'!$B$3:$B$200,0)),"")</f>
      </c>
      <c r="J81" s="10">
        <f>IFERROR(INDEX('🏢 Empresas'!$F$3:$F$200,MATCH($F81,'🏢 Empresas'!$B$3:$B$200,0)),"")</f>
      </c>
      <c r="K81" s="9" t="s">
        <v>900</v>
      </c>
      <c r="L81" s="10">
        <f>IFERROR(INDEX('👥 Estudiantes'!$G$3:$G$200,MATCH($C81,'👥 Estudiantes'!$C$3:$C$200,0)),"")</f>
      </c>
      <c r="M81" s="10">
        <f>IFERROR(INDEX('👥 Estudiantes'!$H$3:$H$200,MATCH($C81,'👥 Estudiantes'!$C$3:$C$200,0)),"")</f>
      </c>
      <c r="N81" s="10">
        <f>IFERROR(INDEX('👥 Estudiantes'!$I$3:$I$200,MATCH($C81,'👥 Estudiantes'!$C$3:$C$200,0)),"")</f>
      </c>
      <c r="O81" s="10">
        <f>IFERROR(INDEX('👥 Estudiantes'!$J$3:$J$200,MATCH($C81,'👥 Estudiantes'!$C$3:$C$200,0)),"")</f>
      </c>
      <c r="P81" s="9" t="s">
        <v>916</v>
      </c>
    </row>
    <row r="82" spans="1:16" x14ac:dyDescent="0.25">
      <c r="A82">
        <f>IF($C82="","",ROW()-2)</f>
      </c>
      <c r="B82" s="8">
        <f>IFERROR(INDEX('👥 Estudiantes'!$B$3:$B$200,MATCH($C82,'👥 Estudiantes'!$C$3:$C$200,0)),"")</f>
      </c>
      <c r="C82" s="9" t="s">
        <v>357</v>
      </c>
      <c r="D82" s="10">
        <f>IFERROR(INDEX('👥 Estudiantes'!$D$3:$D$200,MATCH($C82,'👥 Estudiantes'!$C$3:$C$200,0)),"")</f>
      </c>
      <c r="E82" s="10">
        <f>IFERROR(INDEX('👥 Estudiantes'!$E$3:$E$200,MATCH($C82,'👥 Estudiantes'!$C$3:$C$200,0)),"")</f>
      </c>
      <c r="F82" s="9" t="s">
        <v>703</v>
      </c>
      <c r="G82" s="10">
        <f>IFERROR(INDEX('🏢 Empresas'!$C$3:$C$200,MATCH($F82,'🏢 Empresas'!$B$3:$B$200,0)),"")</f>
      </c>
      <c r="H82" s="10">
        <f>IFERROR(INDEX('🏢 Empresas'!$D$3:$D$200,MATCH($F82,'🏢 Empresas'!$B$3:$B$200,0)),"")</f>
      </c>
      <c r="I82" s="10">
        <f>IFERROR(INDEX('🏢 Empresas'!$E$3:$E$200,MATCH($F82,'🏢 Empresas'!$B$3:$B$200,0)),"")</f>
      </c>
      <c r="J82" s="10">
        <f>IFERROR(INDEX('🏢 Empresas'!$F$3:$F$200,MATCH($F82,'🏢 Empresas'!$B$3:$B$200,0)),"")</f>
      </c>
      <c r="K82" s="9" t="s">
        <v>898</v>
      </c>
      <c r="L82" s="10">
        <f>IFERROR(INDEX('👥 Estudiantes'!$G$3:$G$200,MATCH($C82,'👥 Estudiantes'!$C$3:$C$200,0)),"")</f>
      </c>
      <c r="M82" s="10">
        <f>IFERROR(INDEX('👥 Estudiantes'!$H$3:$H$200,MATCH($C82,'👥 Estudiantes'!$C$3:$C$200,0)),"")</f>
      </c>
      <c r="N82" s="10">
        <f>IFERROR(INDEX('👥 Estudiantes'!$I$3:$I$200,MATCH($C82,'👥 Estudiantes'!$C$3:$C$200,0)),"")</f>
      </c>
      <c r="O82" s="10">
        <f>IFERROR(INDEX('👥 Estudiantes'!$J$3:$J$200,MATCH($C82,'👥 Estudiantes'!$C$3:$C$200,0)),"")</f>
      </c>
      <c r="P82" s="9" t="s">
        <v>920</v>
      </c>
    </row>
    <row r="83" spans="1:16" x14ac:dyDescent="0.25">
      <c r="A83">
        <f>IF($C83="","",ROW()-2)</f>
      </c>
      <c r="B83" s="8">
        <f>IFERROR(INDEX('👥 Estudiantes'!$B$3:$B$200,MATCH($C83,'👥 Estudiantes'!$C$3:$C$200,0)),"")</f>
      </c>
      <c r="C83" s="9" t="s">
        <v>361</v>
      </c>
      <c r="D83" s="10">
        <f>IFERROR(INDEX('👥 Estudiantes'!$D$3:$D$200,MATCH($C83,'👥 Estudiantes'!$C$3:$C$200,0)),"")</f>
      </c>
      <c r="E83" s="10">
        <f>IFERROR(INDEX('👥 Estudiantes'!$E$3:$E$200,MATCH($C83,'👥 Estudiantes'!$C$3:$C$200,0)),"")</f>
      </c>
      <c r="F83" s="9" t="s">
        <v>723</v>
      </c>
      <c r="G83" s="10">
        <f>IFERROR(INDEX('🏢 Empresas'!$C$3:$C$200,MATCH($F83,'🏢 Empresas'!$B$3:$B$200,0)),"")</f>
      </c>
      <c r="H83" s="10">
        <f>IFERROR(INDEX('🏢 Empresas'!$D$3:$D$200,MATCH($F83,'🏢 Empresas'!$B$3:$B$200,0)),"")</f>
      </c>
      <c r="I83" s="10">
        <f>IFERROR(INDEX('🏢 Empresas'!$E$3:$E$200,MATCH($F83,'🏢 Empresas'!$B$3:$B$200,0)),"")</f>
      </c>
      <c r="J83" s="10">
        <f>IFERROR(INDEX('🏢 Empresas'!$F$3:$F$200,MATCH($F83,'🏢 Empresas'!$B$3:$B$200,0)),"")</f>
      </c>
      <c r="K83" s="9" t="s">
        <v>898</v>
      </c>
      <c r="L83" s="10">
        <f>IFERROR(INDEX('👥 Estudiantes'!$G$3:$G$200,MATCH($C83,'👥 Estudiantes'!$C$3:$C$200,0)),"")</f>
      </c>
      <c r="M83" s="10">
        <f>IFERROR(INDEX('👥 Estudiantes'!$H$3:$H$200,MATCH($C83,'👥 Estudiantes'!$C$3:$C$200,0)),"")</f>
      </c>
      <c r="N83" s="10">
        <f>IFERROR(INDEX('👥 Estudiantes'!$I$3:$I$200,MATCH($C83,'👥 Estudiantes'!$C$3:$C$200,0)),"")</f>
      </c>
      <c r="O83" s="10">
        <f>IFERROR(INDEX('👥 Estudiantes'!$J$3:$J$200,MATCH($C83,'👥 Estudiantes'!$C$3:$C$200,0)),"")</f>
      </c>
      <c r="P83" s="9" t="s">
        <v>918</v>
      </c>
    </row>
    <row r="84" spans="1:16" x14ac:dyDescent="0.25">
      <c r="A84">
        <f>IF($C84="","",ROW()-2)</f>
      </c>
      <c r="B84" s="8">
        <f>IFERROR(INDEX('👥 Estudiantes'!$B$3:$B$200,MATCH($C84,'👥 Estudiantes'!$C$3:$C$200,0)),"")</f>
      </c>
      <c r="C84" s="9" t="s">
        <v>365</v>
      </c>
      <c r="D84" s="10">
        <f>IFERROR(INDEX('👥 Estudiantes'!$D$3:$D$200,MATCH($C84,'👥 Estudiantes'!$C$3:$C$200,0)),"")</f>
      </c>
      <c r="E84" s="10">
        <f>IFERROR(INDEX('👥 Estudiantes'!$E$3:$E$200,MATCH($C84,'👥 Estudiantes'!$C$3:$C$200,0)),"")</f>
      </c>
      <c r="F84" s="9" t="s">
        <v>708</v>
      </c>
      <c r="G84" s="10">
        <f>IFERROR(INDEX('🏢 Empresas'!$C$3:$C$200,MATCH($F84,'🏢 Empresas'!$B$3:$B$200,0)),"")</f>
      </c>
      <c r="H84" s="10">
        <f>IFERROR(INDEX('🏢 Empresas'!$D$3:$D$200,MATCH($F84,'🏢 Empresas'!$B$3:$B$200,0)),"")</f>
      </c>
      <c r="I84" s="10">
        <f>IFERROR(INDEX('🏢 Empresas'!$E$3:$E$200,MATCH($F84,'🏢 Empresas'!$B$3:$B$200,0)),"")</f>
      </c>
      <c r="J84" s="10">
        <f>IFERROR(INDEX('🏢 Empresas'!$F$3:$F$200,MATCH($F84,'🏢 Empresas'!$B$3:$B$200,0)),"")</f>
      </c>
      <c r="K84" s="9" t="s">
        <v>903</v>
      </c>
      <c r="L84" s="10">
        <f>IFERROR(INDEX('👥 Estudiantes'!$G$3:$G$200,MATCH($C84,'👥 Estudiantes'!$C$3:$C$200,0)),"")</f>
      </c>
      <c r="M84" s="10">
        <f>IFERROR(INDEX('👥 Estudiantes'!$H$3:$H$200,MATCH($C84,'👥 Estudiantes'!$C$3:$C$200,0)),"")</f>
      </c>
      <c r="N84" s="10">
        <f>IFERROR(INDEX('👥 Estudiantes'!$I$3:$I$200,MATCH($C84,'👥 Estudiantes'!$C$3:$C$200,0)),"")</f>
      </c>
      <c r="O84" s="10">
        <f>IFERROR(INDEX('👥 Estudiantes'!$J$3:$J$200,MATCH($C84,'👥 Estudiantes'!$C$3:$C$200,0)),"")</f>
      </c>
      <c r="P84" s="9" t="s">
        <v>918</v>
      </c>
    </row>
    <row r="85" spans="1:16" x14ac:dyDescent="0.25">
      <c r="A85">
        <f>IF($C85="","",ROW()-2)</f>
      </c>
      <c r="B85" s="8">
        <f>IFERROR(INDEX('👥 Estudiantes'!$B$3:$B$200,MATCH($C85,'👥 Estudiantes'!$C$3:$C$200,0)),"")</f>
      </c>
      <c r="C85" s="9" t="s">
        <v>369</v>
      </c>
      <c r="D85" s="10">
        <f>IFERROR(INDEX('👥 Estudiantes'!$D$3:$D$200,MATCH($C85,'👥 Estudiantes'!$C$3:$C$200,0)),"")</f>
      </c>
      <c r="E85" s="10">
        <f>IFERROR(INDEX('👥 Estudiantes'!$E$3:$E$200,MATCH($C85,'👥 Estudiantes'!$C$3:$C$200,0)),"")</f>
      </c>
      <c r="F85" s="9" t="s">
        <v>708</v>
      </c>
      <c r="G85" s="10">
        <f>IFERROR(INDEX('🏢 Empresas'!$C$3:$C$200,MATCH($F85,'🏢 Empresas'!$B$3:$B$200,0)),"")</f>
      </c>
      <c r="H85" s="10">
        <f>IFERROR(INDEX('🏢 Empresas'!$D$3:$D$200,MATCH($F85,'🏢 Empresas'!$B$3:$B$200,0)),"")</f>
      </c>
      <c r="I85" s="10">
        <f>IFERROR(INDEX('🏢 Empresas'!$E$3:$E$200,MATCH($F85,'🏢 Empresas'!$B$3:$B$200,0)),"")</f>
      </c>
      <c r="J85" s="10">
        <f>IFERROR(INDEX('🏢 Empresas'!$F$3:$F$200,MATCH($F85,'🏢 Empresas'!$B$3:$B$200,0)),"")</f>
      </c>
      <c r="K85" s="9" t="s">
        <v>903</v>
      </c>
      <c r="L85" s="10">
        <f>IFERROR(INDEX('👥 Estudiantes'!$G$3:$G$200,MATCH($C85,'👥 Estudiantes'!$C$3:$C$200,0)),"")</f>
      </c>
      <c r="M85" s="10">
        <f>IFERROR(INDEX('👥 Estudiantes'!$H$3:$H$200,MATCH($C85,'👥 Estudiantes'!$C$3:$C$200,0)),"")</f>
      </c>
      <c r="N85" s="10">
        <f>IFERROR(INDEX('👥 Estudiantes'!$I$3:$I$200,MATCH($C85,'👥 Estudiantes'!$C$3:$C$200,0)),"")</f>
      </c>
      <c r="O85" s="10">
        <f>IFERROR(INDEX('👥 Estudiantes'!$J$3:$J$200,MATCH($C85,'👥 Estudiantes'!$C$3:$C$200,0)),"")</f>
      </c>
      <c r="P85" s="9" t="s">
        <v>916</v>
      </c>
    </row>
    <row r="86" spans="1:16" x14ac:dyDescent="0.25">
      <c r="A86">
        <f>IF($C86="","",ROW()-2)</f>
      </c>
      <c r="B86" s="8">
        <f>IFERROR(INDEX('👥 Estudiantes'!$B$3:$B$200,MATCH($C86,'👥 Estudiantes'!$C$3:$C$200,0)),"")</f>
      </c>
      <c r="C86" s="9" t="s">
        <v>373</v>
      </c>
      <c r="D86" s="10">
        <f>IFERROR(INDEX('👥 Estudiantes'!$D$3:$D$200,MATCH($C86,'👥 Estudiantes'!$C$3:$C$200,0)),"")</f>
      </c>
      <c r="E86" s="10">
        <f>IFERROR(INDEX('👥 Estudiantes'!$E$3:$E$200,MATCH($C86,'👥 Estudiantes'!$C$3:$C$200,0)),"")</f>
      </c>
      <c r="F86" s="9" t="s">
        <v>769</v>
      </c>
      <c r="G86" s="10">
        <f>IFERROR(INDEX('🏢 Empresas'!$C$3:$C$200,MATCH($F86,'🏢 Empresas'!$B$3:$B$200,0)),"")</f>
      </c>
      <c r="H86" s="10">
        <f>IFERROR(INDEX('🏢 Empresas'!$D$3:$D$200,MATCH($F86,'🏢 Empresas'!$B$3:$B$200,0)),"")</f>
      </c>
      <c r="I86" s="10">
        <f>IFERROR(INDEX('🏢 Empresas'!$E$3:$E$200,MATCH($F86,'🏢 Empresas'!$B$3:$B$200,0)),"")</f>
      </c>
      <c r="J86" s="10">
        <f>IFERROR(INDEX('🏢 Empresas'!$F$3:$F$200,MATCH($F86,'🏢 Empresas'!$B$3:$B$200,0)),"")</f>
      </c>
      <c r="K86" s="9" t="s">
        <v>904</v>
      </c>
      <c r="L86" s="10">
        <f>IFERROR(INDEX('👥 Estudiantes'!$G$3:$G$200,MATCH($C86,'👥 Estudiantes'!$C$3:$C$200,0)),"")</f>
      </c>
      <c r="M86" s="10">
        <f>IFERROR(INDEX('👥 Estudiantes'!$H$3:$H$200,MATCH($C86,'👥 Estudiantes'!$C$3:$C$200,0)),"")</f>
      </c>
      <c r="N86" s="10">
        <f>IFERROR(INDEX('👥 Estudiantes'!$I$3:$I$200,MATCH($C86,'👥 Estudiantes'!$C$3:$C$200,0)),"")</f>
      </c>
      <c r="O86" s="10">
        <f>IFERROR(INDEX('👥 Estudiantes'!$J$3:$J$200,MATCH($C86,'👥 Estudiantes'!$C$3:$C$200,0)),"")</f>
      </c>
      <c r="P86" s="9" t="s">
        <v>916</v>
      </c>
    </row>
    <row r="87" spans="1:16" x14ac:dyDescent="0.25">
      <c r="A87">
        <f>IF($C87="","",ROW()-2)</f>
      </c>
      <c r="B87" s="8">
        <f>IFERROR(INDEX('👥 Estudiantes'!$B$3:$B$200,MATCH($C87,'👥 Estudiantes'!$C$3:$C$200,0)),"")</f>
      </c>
      <c r="C87" s="9" t="s">
        <v>377</v>
      </c>
      <c r="D87" s="10">
        <f>IFERROR(INDEX('👥 Estudiantes'!$D$3:$D$200,MATCH($C87,'👥 Estudiantes'!$C$3:$C$200,0)),"")</f>
      </c>
      <c r="E87" s="10">
        <f>IFERROR(INDEX('👥 Estudiantes'!$E$3:$E$200,MATCH($C87,'👥 Estudiantes'!$C$3:$C$200,0)),"")</f>
      </c>
      <c r="F87" s="9" t="s">
        <v>691</v>
      </c>
      <c r="G87" s="10">
        <f>IFERROR(INDEX('🏢 Empresas'!$C$3:$C$200,MATCH($F87,'🏢 Empresas'!$B$3:$B$200,0)),"")</f>
      </c>
      <c r="H87" s="10">
        <f>IFERROR(INDEX('🏢 Empresas'!$D$3:$D$200,MATCH($F87,'🏢 Empresas'!$B$3:$B$200,0)),"")</f>
      </c>
      <c r="I87" s="10">
        <f>IFERROR(INDEX('🏢 Empresas'!$E$3:$E$200,MATCH($F87,'🏢 Empresas'!$B$3:$B$200,0)),"")</f>
      </c>
      <c r="J87" s="10">
        <f>IFERROR(INDEX('🏢 Empresas'!$F$3:$F$200,MATCH($F87,'🏢 Empresas'!$B$3:$B$200,0)),"")</f>
      </c>
      <c r="K87" s="9" t="s">
        <v>901</v>
      </c>
      <c r="L87" s="10">
        <f>IFERROR(INDEX('👥 Estudiantes'!$G$3:$G$200,MATCH($C87,'👥 Estudiantes'!$C$3:$C$200,0)),"")</f>
      </c>
      <c r="M87" s="10">
        <f>IFERROR(INDEX('👥 Estudiantes'!$H$3:$H$200,MATCH($C87,'👥 Estudiantes'!$C$3:$C$200,0)),"")</f>
      </c>
      <c r="N87" s="10">
        <f>IFERROR(INDEX('👥 Estudiantes'!$I$3:$I$200,MATCH($C87,'👥 Estudiantes'!$C$3:$C$200,0)),"")</f>
      </c>
      <c r="O87" s="10">
        <f>IFERROR(INDEX('👥 Estudiantes'!$J$3:$J$200,MATCH($C87,'👥 Estudiantes'!$C$3:$C$200,0)),"")</f>
      </c>
      <c r="P87" s="9" t="s">
        <v>918</v>
      </c>
    </row>
    <row r="88" spans="1:16" x14ac:dyDescent="0.25">
      <c r="A88">
        <f>IF($C88="","",ROW()-2)</f>
      </c>
      <c r="B88" s="8">
        <f>IFERROR(INDEX('👥 Estudiantes'!$B$3:$B$200,MATCH($C88,'👥 Estudiantes'!$C$3:$C$200,0)),"")</f>
      </c>
      <c r="C88" s="9" t="s">
        <v>381</v>
      </c>
      <c r="D88" s="10">
        <f>IFERROR(INDEX('👥 Estudiantes'!$D$3:$D$200,MATCH($C88,'👥 Estudiantes'!$C$3:$C$200,0)),"")</f>
      </c>
      <c r="E88" s="10">
        <f>IFERROR(INDEX('👥 Estudiantes'!$E$3:$E$200,MATCH($C88,'👥 Estudiantes'!$C$3:$C$200,0)),"")</f>
      </c>
      <c r="F88" s="9" t="s">
        <v>890</v>
      </c>
      <c r="G88" s="10">
        <f>IFERROR(INDEX('🏢 Empresas'!$C$3:$C$200,MATCH($F88,'🏢 Empresas'!$B$3:$B$200,0)),"")</f>
      </c>
      <c r="H88" s="10">
        <f>IFERROR(INDEX('🏢 Empresas'!$D$3:$D$200,MATCH($F88,'🏢 Empresas'!$B$3:$B$200,0)),"")</f>
      </c>
      <c r="I88" s="10">
        <f>IFERROR(INDEX('🏢 Empresas'!$E$3:$E$200,MATCH($F88,'🏢 Empresas'!$B$3:$B$200,0)),"")</f>
      </c>
      <c r="J88" s="10">
        <f>IFERROR(INDEX('🏢 Empresas'!$F$3:$F$200,MATCH($F88,'🏢 Empresas'!$B$3:$B$200,0)),"")</f>
      </c>
      <c r="K88" s="9" t="s">
        <v>900</v>
      </c>
      <c r="L88" s="10">
        <f>IFERROR(INDEX('👥 Estudiantes'!$G$3:$G$200,MATCH($C88,'👥 Estudiantes'!$C$3:$C$200,0)),"")</f>
      </c>
      <c r="M88" s="10">
        <f>IFERROR(INDEX('👥 Estudiantes'!$H$3:$H$200,MATCH($C88,'👥 Estudiantes'!$C$3:$C$200,0)),"")</f>
      </c>
      <c r="N88" s="10">
        <f>IFERROR(INDEX('👥 Estudiantes'!$I$3:$I$200,MATCH($C88,'👥 Estudiantes'!$C$3:$C$200,0)),"")</f>
      </c>
      <c r="O88" s="10">
        <f>IFERROR(INDEX('👥 Estudiantes'!$J$3:$J$200,MATCH($C88,'👥 Estudiantes'!$C$3:$C$200,0)),"")</f>
      </c>
      <c r="P88" s="9" t="s">
        <v>916</v>
      </c>
    </row>
    <row r="89" spans="1:16" x14ac:dyDescent="0.25">
      <c r="A89">
        <f>IF($C89="","",ROW()-2)</f>
      </c>
      <c r="B89" s="8">
        <f>IFERROR(INDEX('👥 Estudiantes'!$B$3:$B$200,MATCH($C89,'👥 Estudiantes'!$C$3:$C$200,0)),"")</f>
      </c>
      <c r="C89" s="9" t="s">
        <v>385</v>
      </c>
      <c r="D89" s="10">
        <f>IFERROR(INDEX('👥 Estudiantes'!$D$3:$D$200,MATCH($C89,'👥 Estudiantes'!$C$3:$C$200,0)),"")</f>
      </c>
      <c r="E89" s="10">
        <f>IFERROR(INDEX('👥 Estudiantes'!$E$3:$E$200,MATCH($C89,'👥 Estudiantes'!$C$3:$C$200,0)),"")</f>
      </c>
      <c r="F89" s="9" t="s">
        <v>762</v>
      </c>
      <c r="G89" s="10">
        <f>IFERROR(INDEX('🏢 Empresas'!$C$3:$C$200,MATCH($F89,'🏢 Empresas'!$B$3:$B$200,0)),"")</f>
      </c>
      <c r="H89" s="10">
        <f>IFERROR(INDEX('🏢 Empresas'!$D$3:$D$200,MATCH($F89,'🏢 Empresas'!$B$3:$B$200,0)),"")</f>
      </c>
      <c r="I89" s="10">
        <f>IFERROR(INDEX('🏢 Empresas'!$E$3:$E$200,MATCH($F89,'🏢 Empresas'!$B$3:$B$200,0)),"")</f>
      </c>
      <c r="J89" s="10">
        <f>IFERROR(INDEX('🏢 Empresas'!$F$3:$F$200,MATCH($F89,'🏢 Empresas'!$B$3:$B$200,0)),"")</f>
      </c>
      <c r="K89" s="9" t="s">
        <v>900</v>
      </c>
      <c r="L89" s="10">
        <f>IFERROR(INDEX('👥 Estudiantes'!$G$3:$G$200,MATCH($C89,'👥 Estudiantes'!$C$3:$C$200,0)),"")</f>
      </c>
      <c r="M89" s="10">
        <f>IFERROR(INDEX('👥 Estudiantes'!$H$3:$H$200,MATCH($C89,'👥 Estudiantes'!$C$3:$C$200,0)),"")</f>
      </c>
      <c r="N89" s="10">
        <f>IFERROR(INDEX('👥 Estudiantes'!$I$3:$I$200,MATCH($C89,'👥 Estudiantes'!$C$3:$C$200,0)),"")</f>
      </c>
      <c r="O89" s="10">
        <f>IFERROR(INDEX('👥 Estudiantes'!$J$3:$J$200,MATCH($C89,'👥 Estudiantes'!$C$3:$C$200,0)),"")</f>
      </c>
      <c r="P89" s="9" t="s">
        <v>919</v>
      </c>
    </row>
    <row r="90" spans="1:16" x14ac:dyDescent="0.25">
      <c r="A90">
        <f>IF($C90="","",ROW()-2)</f>
      </c>
      <c r="B90" s="8">
        <f>IFERROR(INDEX('👥 Estudiantes'!$B$3:$B$200,MATCH($C90,'👥 Estudiantes'!$C$3:$C$200,0)),"")</f>
      </c>
      <c r="C90" s="9" t="s">
        <v>389</v>
      </c>
      <c r="D90" s="10">
        <f>IFERROR(INDEX('👥 Estudiantes'!$D$3:$D$200,MATCH($C90,'👥 Estudiantes'!$C$3:$C$200,0)),"")</f>
      </c>
      <c r="E90" s="10">
        <f>IFERROR(INDEX('👥 Estudiantes'!$E$3:$E$200,MATCH($C90,'👥 Estudiantes'!$C$3:$C$200,0)),"")</f>
      </c>
      <c r="F90" s="9" t="s">
        <v>749</v>
      </c>
      <c r="G90" s="10">
        <f>IFERROR(INDEX('🏢 Empresas'!$C$3:$C$200,MATCH($F90,'🏢 Empresas'!$B$3:$B$200,0)),"")</f>
      </c>
      <c r="H90" s="10">
        <f>IFERROR(INDEX('🏢 Empresas'!$D$3:$D$200,MATCH($F90,'🏢 Empresas'!$B$3:$B$200,0)),"")</f>
      </c>
      <c r="I90" s="10">
        <f>IFERROR(INDEX('🏢 Empresas'!$E$3:$E$200,MATCH($F90,'🏢 Empresas'!$B$3:$B$200,0)),"")</f>
      </c>
      <c r="J90" s="10">
        <f>IFERROR(INDEX('🏢 Empresas'!$F$3:$F$200,MATCH($F90,'🏢 Empresas'!$B$3:$B$200,0)),"")</f>
      </c>
      <c r="K90" s="9" t="s">
        <v>898</v>
      </c>
      <c r="L90" s="10">
        <f>IFERROR(INDEX('👥 Estudiantes'!$G$3:$G$200,MATCH($C90,'👥 Estudiantes'!$C$3:$C$200,0)),"")</f>
      </c>
      <c r="M90" s="10">
        <f>IFERROR(INDEX('👥 Estudiantes'!$H$3:$H$200,MATCH($C90,'👥 Estudiantes'!$C$3:$C$200,0)),"")</f>
      </c>
      <c r="N90" s="10">
        <f>IFERROR(INDEX('👥 Estudiantes'!$I$3:$I$200,MATCH($C90,'👥 Estudiantes'!$C$3:$C$200,0)),"")</f>
      </c>
      <c r="O90" s="10">
        <f>IFERROR(INDEX('👥 Estudiantes'!$J$3:$J$200,MATCH($C90,'👥 Estudiantes'!$C$3:$C$200,0)),"")</f>
      </c>
      <c r="P90" s="9" t="s">
        <v>918</v>
      </c>
    </row>
    <row r="91" spans="1:16" x14ac:dyDescent="0.25">
      <c r="A91">
        <f>IF($C91="","",ROW()-2)</f>
      </c>
      <c r="B91" s="8">
        <f>IFERROR(INDEX('👥 Estudiantes'!$B$3:$B$200,MATCH($C91,'👥 Estudiantes'!$C$3:$C$200,0)),"")</f>
      </c>
      <c r="C91" s="9" t="s">
        <v>393</v>
      </c>
      <c r="D91" s="10">
        <f>IFERROR(INDEX('👥 Estudiantes'!$D$3:$D$200,MATCH($C91,'👥 Estudiantes'!$C$3:$C$200,0)),"")</f>
      </c>
      <c r="E91" s="10">
        <f>IFERROR(INDEX('👥 Estudiantes'!$E$3:$E$200,MATCH($C91,'👥 Estudiantes'!$C$3:$C$200,0)),"")</f>
      </c>
      <c r="F91" s="9" t="s">
        <v>769</v>
      </c>
      <c r="G91" s="10">
        <f>IFERROR(INDEX('🏢 Empresas'!$C$3:$C$200,MATCH($F91,'🏢 Empresas'!$B$3:$B$200,0)),"")</f>
      </c>
      <c r="H91" s="10">
        <f>IFERROR(INDEX('🏢 Empresas'!$D$3:$D$200,MATCH($F91,'🏢 Empresas'!$B$3:$B$200,0)),"")</f>
      </c>
      <c r="I91" s="10">
        <f>IFERROR(INDEX('🏢 Empresas'!$E$3:$E$200,MATCH($F91,'🏢 Empresas'!$B$3:$B$200,0)),"")</f>
      </c>
      <c r="J91" s="10">
        <f>IFERROR(INDEX('🏢 Empresas'!$F$3:$F$200,MATCH($F91,'🏢 Empresas'!$B$3:$B$200,0)),"")</f>
      </c>
      <c r="K91" s="9" t="s">
        <v>905</v>
      </c>
      <c r="L91" s="10">
        <f>IFERROR(INDEX('👥 Estudiantes'!$G$3:$G$200,MATCH($C91,'👥 Estudiantes'!$C$3:$C$200,0)),"")</f>
      </c>
      <c r="M91" s="10">
        <f>IFERROR(INDEX('👥 Estudiantes'!$H$3:$H$200,MATCH($C91,'👥 Estudiantes'!$C$3:$C$200,0)),"")</f>
      </c>
      <c r="N91" s="10">
        <f>IFERROR(INDEX('👥 Estudiantes'!$I$3:$I$200,MATCH($C91,'👥 Estudiantes'!$C$3:$C$200,0)),"")</f>
      </c>
      <c r="O91" s="10">
        <f>IFERROR(INDEX('👥 Estudiantes'!$J$3:$J$200,MATCH($C91,'👥 Estudiantes'!$C$3:$C$200,0)),"")</f>
      </c>
      <c r="P91" s="9" t="s">
        <v>918</v>
      </c>
    </row>
    <row r="92" spans="1:16" x14ac:dyDescent="0.25">
      <c r="A92">
        <f>IF($C92="","",ROW()-2)</f>
      </c>
      <c r="B92" s="8">
        <f>IFERROR(INDEX('👥 Estudiantes'!$B$3:$B$200,MATCH($C92,'👥 Estudiantes'!$C$3:$C$200,0)),"")</f>
      </c>
      <c r="C92" s="9" t="s">
        <v>397</v>
      </c>
      <c r="D92" s="10">
        <f>IFERROR(INDEX('👥 Estudiantes'!$D$3:$D$200,MATCH($C92,'👥 Estudiantes'!$C$3:$C$200,0)),"")</f>
      </c>
      <c r="E92" s="10">
        <f>IFERROR(INDEX('👥 Estudiantes'!$E$3:$E$200,MATCH($C92,'👥 Estudiantes'!$C$3:$C$200,0)),"")</f>
      </c>
      <c r="F92" s="9" t="s">
        <v>757</v>
      </c>
      <c r="G92" s="10">
        <f>IFERROR(INDEX('🏢 Empresas'!$C$3:$C$200,MATCH($F92,'🏢 Empresas'!$B$3:$B$200,0)),"")</f>
      </c>
      <c r="H92" s="10">
        <f>IFERROR(INDEX('🏢 Empresas'!$D$3:$D$200,MATCH($F92,'🏢 Empresas'!$B$3:$B$200,0)),"")</f>
      </c>
      <c r="I92" s="10">
        <f>IFERROR(INDEX('🏢 Empresas'!$E$3:$E$200,MATCH($F92,'🏢 Empresas'!$B$3:$B$200,0)),"")</f>
      </c>
      <c r="J92" s="10">
        <f>IFERROR(INDEX('🏢 Empresas'!$F$3:$F$200,MATCH($F92,'🏢 Empresas'!$B$3:$B$200,0)),"")</f>
      </c>
      <c r="K92" s="9" t="s">
        <v>905</v>
      </c>
      <c r="L92" s="10">
        <f>IFERROR(INDEX('👥 Estudiantes'!$G$3:$G$200,MATCH($C92,'👥 Estudiantes'!$C$3:$C$200,0)),"")</f>
      </c>
      <c r="M92" s="10">
        <f>IFERROR(INDEX('👥 Estudiantes'!$H$3:$H$200,MATCH($C92,'👥 Estudiantes'!$C$3:$C$200,0)),"")</f>
      </c>
      <c r="N92" s="10">
        <f>IFERROR(INDEX('👥 Estudiantes'!$I$3:$I$200,MATCH($C92,'👥 Estudiantes'!$C$3:$C$200,0)),"")</f>
      </c>
      <c r="O92" s="10">
        <f>IFERROR(INDEX('👥 Estudiantes'!$J$3:$J$200,MATCH($C92,'👥 Estudiantes'!$C$3:$C$200,0)),"")</f>
      </c>
      <c r="P92" s="9" t="s">
        <v>917</v>
      </c>
    </row>
    <row r="93" spans="1:16" x14ac:dyDescent="0.25">
      <c r="A93">
        <f>IF($C93="","",ROW()-2)</f>
      </c>
      <c r="B93" s="8">
        <f>IFERROR(INDEX('👥 Estudiantes'!$B$3:$B$200,MATCH($C93,'👥 Estudiantes'!$C$3:$C$200,0)),"")</f>
      </c>
      <c r="C93" s="9" t="s">
        <v>401</v>
      </c>
      <c r="D93" s="10">
        <f>IFERROR(INDEX('👥 Estudiantes'!$D$3:$D$200,MATCH($C93,'👥 Estudiantes'!$C$3:$C$200,0)),"")</f>
      </c>
      <c r="E93" s="10">
        <f>IFERROR(INDEX('👥 Estudiantes'!$E$3:$E$200,MATCH($C93,'👥 Estudiantes'!$C$3:$C$200,0)),"")</f>
      </c>
      <c r="F93" s="9" t="s">
        <v>599</v>
      </c>
      <c r="G93" s="10">
        <f>IFERROR(INDEX('🏢 Empresas'!$C$3:$C$200,MATCH($F93,'🏢 Empresas'!$B$3:$B$200,0)),"")</f>
      </c>
      <c r="H93" s="10">
        <f>IFERROR(INDEX('🏢 Empresas'!$D$3:$D$200,MATCH($F93,'🏢 Empresas'!$B$3:$B$200,0)),"")</f>
      </c>
      <c r="I93" s="10">
        <f>IFERROR(INDEX('🏢 Empresas'!$E$3:$E$200,MATCH($F93,'🏢 Empresas'!$B$3:$B$200,0)),"")</f>
      </c>
      <c r="J93" s="10">
        <f>IFERROR(INDEX('🏢 Empresas'!$F$3:$F$200,MATCH($F93,'🏢 Empresas'!$B$3:$B$200,0)),"")</f>
      </c>
      <c r="K93" s="9" t="s">
        <v>898</v>
      </c>
      <c r="L93" s="10">
        <f>IFERROR(INDEX('👥 Estudiantes'!$G$3:$G$200,MATCH($C93,'👥 Estudiantes'!$C$3:$C$200,0)),"")</f>
      </c>
      <c r="M93" s="10">
        <f>IFERROR(INDEX('👥 Estudiantes'!$H$3:$H$200,MATCH($C93,'👥 Estudiantes'!$C$3:$C$200,0)),"")</f>
      </c>
      <c r="N93" s="10">
        <f>IFERROR(INDEX('👥 Estudiantes'!$I$3:$I$200,MATCH($C93,'👥 Estudiantes'!$C$3:$C$200,0)),"")</f>
      </c>
      <c r="O93" s="10">
        <f>IFERROR(INDEX('👥 Estudiantes'!$J$3:$J$200,MATCH($C93,'👥 Estudiantes'!$C$3:$C$200,0)),"")</f>
      </c>
      <c r="P93" s="9" t="s">
        <v>918</v>
      </c>
    </row>
    <row r="94" spans="1:16" x14ac:dyDescent="0.25">
      <c r="A94">
        <f>IF($C94="","",ROW()-2)</f>
      </c>
      <c r="B94" s="8">
        <f>IFERROR(INDEX('👥 Estudiantes'!$B$3:$B$200,MATCH($C94,'👥 Estudiantes'!$C$3:$C$200,0)),"")</f>
      </c>
      <c r="C94" s="9" t="s">
        <v>405</v>
      </c>
      <c r="D94" s="10">
        <f>IFERROR(INDEX('👥 Estudiantes'!$D$3:$D$200,MATCH($C94,'👥 Estudiantes'!$C$3:$C$200,0)),"")</f>
      </c>
      <c r="E94" s="10">
        <f>IFERROR(INDEX('👥 Estudiantes'!$E$3:$E$200,MATCH($C94,'👥 Estudiantes'!$C$3:$C$200,0)),"")</f>
      </c>
      <c r="F94" s="9" t="s">
        <v>855</v>
      </c>
      <c r="G94" s="10">
        <f>IFERROR(INDEX('🏢 Empresas'!$C$3:$C$200,MATCH($F94,'🏢 Empresas'!$B$3:$B$200,0)),"")</f>
      </c>
      <c r="H94" s="10">
        <f>IFERROR(INDEX('🏢 Empresas'!$D$3:$D$200,MATCH($F94,'🏢 Empresas'!$B$3:$B$200,0)),"")</f>
      </c>
      <c r="I94" s="10">
        <f>IFERROR(INDEX('🏢 Empresas'!$E$3:$E$200,MATCH($F94,'🏢 Empresas'!$B$3:$B$200,0)),"")</f>
      </c>
      <c r="J94" s="10">
        <f>IFERROR(INDEX('🏢 Empresas'!$F$3:$F$200,MATCH($F94,'🏢 Empresas'!$B$3:$B$200,0)),"")</f>
      </c>
      <c r="K94" s="9" t="s">
        <v>901</v>
      </c>
      <c r="L94" s="10">
        <f>IFERROR(INDEX('👥 Estudiantes'!$G$3:$G$200,MATCH($C94,'👥 Estudiantes'!$C$3:$C$200,0)),"")</f>
      </c>
      <c r="M94" s="10">
        <f>IFERROR(INDEX('👥 Estudiantes'!$H$3:$H$200,MATCH($C94,'👥 Estudiantes'!$C$3:$C$200,0)),"")</f>
      </c>
      <c r="N94" s="10">
        <f>IFERROR(INDEX('👥 Estudiantes'!$I$3:$I$200,MATCH($C94,'👥 Estudiantes'!$C$3:$C$200,0)),"")</f>
      </c>
      <c r="O94" s="10">
        <f>IFERROR(INDEX('👥 Estudiantes'!$J$3:$J$200,MATCH($C94,'👥 Estudiantes'!$C$3:$C$200,0)),"")</f>
      </c>
      <c r="P94" s="9" t="s">
        <v>916</v>
      </c>
    </row>
    <row r="95" spans="1:16" x14ac:dyDescent="0.25">
      <c r="A95">
        <f>IF($C95="","",ROW()-2)</f>
      </c>
      <c r="B95" s="8">
        <f>IFERROR(INDEX('👥 Estudiantes'!$B$3:$B$200,MATCH($C95,'👥 Estudiantes'!$C$3:$C$200,0)),"")</f>
      </c>
      <c r="C95" s="9" t="s">
        <v>409</v>
      </c>
      <c r="D95" s="10">
        <f>IFERROR(INDEX('👥 Estudiantes'!$D$3:$D$200,MATCH($C95,'👥 Estudiantes'!$C$3:$C$200,0)),"")</f>
      </c>
      <c r="E95" s="10">
        <f>IFERROR(INDEX('👥 Estudiantes'!$E$3:$E$200,MATCH($C95,'👥 Estudiantes'!$C$3:$C$200,0)),"")</f>
      </c>
      <c r="F95" s="9" t="s">
        <v>773</v>
      </c>
      <c r="G95" s="10">
        <f>IFERROR(INDEX('🏢 Empresas'!$C$3:$C$200,MATCH($F95,'🏢 Empresas'!$B$3:$B$200,0)),"")</f>
      </c>
      <c r="H95" s="10">
        <f>IFERROR(INDEX('🏢 Empresas'!$D$3:$D$200,MATCH($F95,'🏢 Empresas'!$B$3:$B$200,0)),"")</f>
      </c>
      <c r="I95" s="10">
        <f>IFERROR(INDEX('🏢 Empresas'!$E$3:$E$200,MATCH($F95,'🏢 Empresas'!$B$3:$B$200,0)),"")</f>
      </c>
      <c r="J95" s="10">
        <f>IFERROR(INDEX('🏢 Empresas'!$F$3:$F$200,MATCH($F95,'🏢 Empresas'!$B$3:$B$200,0)),"")</f>
      </c>
      <c r="K95" s="9" t="s">
        <v>908</v>
      </c>
      <c r="L95" s="10">
        <f>IFERROR(INDEX('👥 Estudiantes'!$G$3:$G$200,MATCH($C95,'👥 Estudiantes'!$C$3:$C$200,0)),"")</f>
      </c>
      <c r="M95" s="10">
        <f>IFERROR(INDEX('👥 Estudiantes'!$H$3:$H$200,MATCH($C95,'👥 Estudiantes'!$C$3:$C$200,0)),"")</f>
      </c>
      <c r="N95" s="10">
        <f>IFERROR(INDEX('👥 Estudiantes'!$I$3:$I$200,MATCH($C95,'👥 Estudiantes'!$C$3:$C$200,0)),"")</f>
      </c>
      <c r="O95" s="10">
        <f>IFERROR(INDEX('👥 Estudiantes'!$J$3:$J$200,MATCH($C95,'👥 Estudiantes'!$C$3:$C$200,0)),"")</f>
      </c>
      <c r="P95" s="9" t="s">
        <v>918</v>
      </c>
    </row>
    <row r="96" spans="1:16" x14ac:dyDescent="0.25">
      <c r="A96">
        <f>IF($C96="","",ROW()-2)</f>
      </c>
      <c r="B96" s="8">
        <f>IFERROR(INDEX('👥 Estudiantes'!$B$3:$B$200,MATCH($C96,'👥 Estudiantes'!$C$3:$C$200,0)),"")</f>
      </c>
      <c r="C96" s="9" t="s">
        <v>413</v>
      </c>
      <c r="D96" s="10">
        <f>IFERROR(INDEX('👥 Estudiantes'!$D$3:$D$200,MATCH($C96,'👥 Estudiantes'!$C$3:$C$200,0)),"")</f>
      </c>
      <c r="E96" s="10">
        <f>IFERROR(INDEX('👥 Estudiantes'!$E$3:$E$200,MATCH($C96,'👥 Estudiantes'!$C$3:$C$200,0)),"")</f>
      </c>
      <c r="F96" s="9" t="s">
        <v>708</v>
      </c>
      <c r="G96" s="10">
        <f>IFERROR(INDEX('🏢 Empresas'!$C$3:$C$200,MATCH($F96,'🏢 Empresas'!$B$3:$B$200,0)),"")</f>
      </c>
      <c r="H96" s="10">
        <f>IFERROR(INDEX('🏢 Empresas'!$D$3:$D$200,MATCH($F96,'🏢 Empresas'!$B$3:$B$200,0)),"")</f>
      </c>
      <c r="I96" s="10">
        <f>IFERROR(INDEX('🏢 Empresas'!$E$3:$E$200,MATCH($F96,'🏢 Empresas'!$B$3:$B$200,0)),"")</f>
      </c>
      <c r="J96" s="10">
        <f>IFERROR(INDEX('🏢 Empresas'!$F$3:$F$200,MATCH($F96,'🏢 Empresas'!$B$3:$B$200,0)),"")</f>
      </c>
      <c r="K96" s="9" t="s">
        <v>902</v>
      </c>
      <c r="L96" s="10">
        <f>IFERROR(INDEX('👥 Estudiantes'!$G$3:$G$200,MATCH($C96,'👥 Estudiantes'!$C$3:$C$200,0)),"")</f>
      </c>
      <c r="M96" s="10">
        <f>IFERROR(INDEX('👥 Estudiantes'!$H$3:$H$200,MATCH($C96,'👥 Estudiantes'!$C$3:$C$200,0)),"")</f>
      </c>
      <c r="N96" s="10">
        <f>IFERROR(INDEX('👥 Estudiantes'!$I$3:$I$200,MATCH($C96,'👥 Estudiantes'!$C$3:$C$200,0)),"")</f>
      </c>
      <c r="O96" s="10">
        <f>IFERROR(INDEX('👥 Estudiantes'!$J$3:$J$200,MATCH($C96,'👥 Estudiantes'!$C$3:$C$200,0)),"")</f>
      </c>
      <c r="P96" s="9" t="s">
        <v>918</v>
      </c>
    </row>
    <row r="97" spans="1:16" x14ac:dyDescent="0.25">
      <c r="A97">
        <f>IF($C97="","",ROW()-2)</f>
      </c>
      <c r="B97" s="8">
        <f>IFERROR(INDEX('👥 Estudiantes'!$B$3:$B$200,MATCH($C97,'👥 Estudiantes'!$C$3:$C$200,0)),"")</f>
      </c>
      <c r="C97" s="9" t="s">
        <v>417</v>
      </c>
      <c r="D97" s="10">
        <f>IFERROR(INDEX('👥 Estudiantes'!$D$3:$D$200,MATCH($C97,'👥 Estudiantes'!$C$3:$C$200,0)),"")</f>
      </c>
      <c r="E97" s="10">
        <f>IFERROR(INDEX('👥 Estudiantes'!$E$3:$E$200,MATCH($C97,'👥 Estudiantes'!$C$3:$C$200,0)),"")</f>
      </c>
      <c r="F97" s="9" t="s">
        <v>618</v>
      </c>
      <c r="G97" s="10">
        <f>IFERROR(INDEX('🏢 Empresas'!$C$3:$C$200,MATCH($F97,'🏢 Empresas'!$B$3:$B$200,0)),"")</f>
      </c>
      <c r="H97" s="10">
        <f>IFERROR(INDEX('🏢 Empresas'!$D$3:$D$200,MATCH($F97,'🏢 Empresas'!$B$3:$B$200,0)),"")</f>
      </c>
      <c r="I97" s="10">
        <f>IFERROR(INDEX('🏢 Empresas'!$E$3:$E$200,MATCH($F97,'🏢 Empresas'!$B$3:$B$200,0)),"")</f>
      </c>
      <c r="J97" s="10">
        <f>IFERROR(INDEX('🏢 Empresas'!$F$3:$F$200,MATCH($F97,'🏢 Empresas'!$B$3:$B$200,0)),"")</f>
      </c>
      <c r="K97" s="9" t="s">
        <v>903</v>
      </c>
      <c r="L97" s="10">
        <f>IFERROR(INDEX('👥 Estudiantes'!$G$3:$G$200,MATCH($C97,'👥 Estudiantes'!$C$3:$C$200,0)),"")</f>
      </c>
      <c r="M97" s="10">
        <f>IFERROR(INDEX('👥 Estudiantes'!$H$3:$H$200,MATCH($C97,'👥 Estudiantes'!$C$3:$C$200,0)),"")</f>
      </c>
      <c r="N97" s="10">
        <f>IFERROR(INDEX('👥 Estudiantes'!$I$3:$I$200,MATCH($C97,'👥 Estudiantes'!$C$3:$C$200,0)),"")</f>
      </c>
      <c r="O97" s="10">
        <f>IFERROR(INDEX('👥 Estudiantes'!$J$3:$J$200,MATCH($C97,'👥 Estudiantes'!$C$3:$C$200,0)),"")</f>
      </c>
      <c r="P97" s="9" t="s">
        <v>919</v>
      </c>
    </row>
    <row r="98" spans="1:16" x14ac:dyDescent="0.25">
      <c r="A98">
        <f>IF($C98="","",ROW()-2)</f>
      </c>
      <c r="B98" s="8">
        <f>IFERROR(INDEX('👥 Estudiantes'!$B$3:$B$200,MATCH($C98,'👥 Estudiantes'!$C$3:$C$200,0)),"")</f>
      </c>
      <c r="C98" s="9" t="s">
        <v>421</v>
      </c>
      <c r="D98" s="10">
        <f>IFERROR(INDEX('👥 Estudiantes'!$D$3:$D$200,MATCH($C98,'👥 Estudiantes'!$C$3:$C$200,0)),"")</f>
      </c>
      <c r="E98" s="10">
        <f>IFERROR(INDEX('👥 Estudiantes'!$E$3:$E$200,MATCH($C98,'👥 Estudiantes'!$C$3:$C$200,0)),"")</f>
      </c>
      <c r="F98" s="9" t="s">
        <v>833</v>
      </c>
      <c r="G98" s="10">
        <f>IFERROR(INDEX('🏢 Empresas'!$C$3:$C$200,MATCH($F98,'🏢 Empresas'!$B$3:$B$200,0)),"")</f>
      </c>
      <c r="H98" s="10">
        <f>IFERROR(INDEX('🏢 Empresas'!$D$3:$D$200,MATCH($F98,'🏢 Empresas'!$B$3:$B$200,0)),"")</f>
      </c>
      <c r="I98" s="10">
        <f>IFERROR(INDEX('🏢 Empresas'!$E$3:$E$200,MATCH($F98,'🏢 Empresas'!$B$3:$B$200,0)),"")</f>
      </c>
      <c r="J98" s="10">
        <f>IFERROR(INDEX('🏢 Empresas'!$F$3:$F$200,MATCH($F98,'🏢 Empresas'!$B$3:$B$200,0)),"")</f>
      </c>
      <c r="K98" s="9" t="s">
        <v>906</v>
      </c>
      <c r="L98" s="10">
        <f>IFERROR(INDEX('👥 Estudiantes'!$G$3:$G$200,MATCH($C98,'👥 Estudiantes'!$C$3:$C$200,0)),"")</f>
      </c>
      <c r="M98" s="10">
        <f>IFERROR(INDEX('👥 Estudiantes'!$H$3:$H$200,MATCH($C98,'👥 Estudiantes'!$C$3:$C$200,0)),"")</f>
      </c>
      <c r="N98" s="10">
        <f>IFERROR(INDEX('👥 Estudiantes'!$I$3:$I$200,MATCH($C98,'👥 Estudiantes'!$C$3:$C$200,0)),"")</f>
      </c>
      <c r="O98" s="10">
        <f>IFERROR(INDEX('👥 Estudiantes'!$J$3:$J$200,MATCH($C98,'👥 Estudiantes'!$C$3:$C$200,0)),"")</f>
      </c>
      <c r="P98" s="9" t="s">
        <v>921</v>
      </c>
    </row>
    <row r="99" spans="1:16" x14ac:dyDescent="0.25">
      <c r="A99">
        <f>IF($C99="","",ROW()-2)</f>
      </c>
      <c r="B99" s="8">
        <f>IFERROR(INDEX('👥 Estudiantes'!$B$3:$B$200,MATCH($C99,'👥 Estudiantes'!$C$3:$C$200,0)),"")</f>
      </c>
      <c r="C99" s="9" t="s">
        <v>425</v>
      </c>
      <c r="D99" s="10">
        <f>IFERROR(INDEX('👥 Estudiantes'!$D$3:$D$200,MATCH($C99,'👥 Estudiantes'!$C$3:$C$200,0)),"")</f>
      </c>
      <c r="E99" s="10">
        <f>IFERROR(INDEX('👥 Estudiantes'!$E$3:$E$200,MATCH($C99,'👥 Estudiantes'!$C$3:$C$200,0)),"")</f>
      </c>
      <c r="F99" s="9" t="s">
        <v>703</v>
      </c>
      <c r="G99" s="10">
        <f>IFERROR(INDEX('🏢 Empresas'!$C$3:$C$200,MATCH($F99,'🏢 Empresas'!$B$3:$B$200,0)),"")</f>
      </c>
      <c r="H99" s="10">
        <f>IFERROR(INDEX('🏢 Empresas'!$D$3:$D$200,MATCH($F99,'🏢 Empresas'!$B$3:$B$200,0)),"")</f>
      </c>
      <c r="I99" s="10">
        <f>IFERROR(INDEX('🏢 Empresas'!$E$3:$E$200,MATCH($F99,'🏢 Empresas'!$B$3:$B$200,0)),"")</f>
      </c>
      <c r="J99" s="10">
        <f>IFERROR(INDEX('🏢 Empresas'!$F$3:$F$200,MATCH($F99,'🏢 Empresas'!$B$3:$B$200,0)),"")</f>
      </c>
      <c r="K99" s="9" t="s">
        <v>902</v>
      </c>
      <c r="L99" s="10">
        <f>IFERROR(INDEX('👥 Estudiantes'!$G$3:$G$200,MATCH($C99,'👥 Estudiantes'!$C$3:$C$200,0)),"")</f>
      </c>
      <c r="M99" s="10">
        <f>IFERROR(INDEX('👥 Estudiantes'!$H$3:$H$200,MATCH($C99,'👥 Estudiantes'!$C$3:$C$200,0)),"")</f>
      </c>
      <c r="N99" s="10">
        <f>IFERROR(INDEX('👥 Estudiantes'!$I$3:$I$200,MATCH($C99,'👥 Estudiantes'!$C$3:$C$200,0)),"")</f>
      </c>
      <c r="O99" s="10">
        <f>IFERROR(INDEX('👥 Estudiantes'!$J$3:$J$200,MATCH($C99,'👥 Estudiantes'!$C$3:$C$200,0)),"")</f>
      </c>
      <c r="P99" s="9" t="s">
        <v>916</v>
      </c>
    </row>
    <row r="100" spans="1:16" x14ac:dyDescent="0.25">
      <c r="A100">
        <f>IF($C100="","",ROW()-2)</f>
      </c>
      <c r="B100" s="8">
        <f>IFERROR(INDEX('👥 Estudiantes'!$B$3:$B$200,MATCH($C100,'👥 Estudiantes'!$C$3:$C$200,0)),"")</f>
      </c>
      <c r="C100" s="9" t="s">
        <v>429</v>
      </c>
      <c r="D100" s="10">
        <f>IFERROR(INDEX('👥 Estudiantes'!$D$3:$D$200,MATCH($C100,'👥 Estudiantes'!$C$3:$C$200,0)),"")</f>
      </c>
      <c r="E100" s="10">
        <f>IFERROR(INDEX('👥 Estudiantes'!$E$3:$E$200,MATCH($C100,'👥 Estudiantes'!$C$3:$C$200,0)),"")</f>
      </c>
      <c r="F100" s="9" t="s">
        <v>777</v>
      </c>
      <c r="G100" s="10">
        <f>IFERROR(INDEX('🏢 Empresas'!$C$3:$C$200,MATCH($F100,'🏢 Empresas'!$B$3:$B$200,0)),"")</f>
      </c>
      <c r="H100" s="10">
        <f>IFERROR(INDEX('🏢 Empresas'!$D$3:$D$200,MATCH($F100,'🏢 Empresas'!$B$3:$B$200,0)),"")</f>
      </c>
      <c r="I100" s="10">
        <f>IFERROR(INDEX('🏢 Empresas'!$E$3:$E$200,MATCH($F100,'🏢 Empresas'!$B$3:$B$200,0)),"")</f>
      </c>
      <c r="J100" s="10">
        <f>IFERROR(INDEX('🏢 Empresas'!$F$3:$F$200,MATCH($F100,'🏢 Empresas'!$B$3:$B$200,0)),"")</f>
      </c>
      <c r="K100" s="9" t="s">
        <v>907</v>
      </c>
      <c r="L100" s="10">
        <f>IFERROR(INDEX('👥 Estudiantes'!$G$3:$G$200,MATCH($C100,'👥 Estudiantes'!$C$3:$C$200,0)),"")</f>
      </c>
      <c r="M100" s="10">
        <f>IFERROR(INDEX('👥 Estudiantes'!$H$3:$H$200,MATCH($C100,'👥 Estudiantes'!$C$3:$C$200,0)),"")</f>
      </c>
      <c r="N100" s="10">
        <f>IFERROR(INDEX('👥 Estudiantes'!$I$3:$I$200,MATCH($C100,'👥 Estudiantes'!$C$3:$C$200,0)),"")</f>
      </c>
      <c r="O100" s="10">
        <f>IFERROR(INDEX('👥 Estudiantes'!$J$3:$J$200,MATCH($C100,'👥 Estudiantes'!$C$3:$C$200,0)),"")</f>
      </c>
      <c r="P100" s="9" t="s">
        <v>923</v>
      </c>
    </row>
    <row r="101" spans="1:16" x14ac:dyDescent="0.25">
      <c r="A101">
        <f>IF($C101="","",ROW()-2)</f>
      </c>
      <c r="B101" s="8">
        <f>IFERROR(INDEX('👥 Estudiantes'!$B$3:$B$200,MATCH($C101,'👥 Estudiantes'!$C$3:$C$200,0)),"")</f>
      </c>
      <c r="C101" s="9" t="s">
        <v>433</v>
      </c>
      <c r="D101" s="10">
        <f>IFERROR(INDEX('👥 Estudiantes'!$D$3:$D$200,MATCH($C101,'👥 Estudiantes'!$C$3:$C$200,0)),"")</f>
      </c>
      <c r="E101" s="10">
        <f>IFERROR(INDEX('👥 Estudiantes'!$E$3:$E$200,MATCH($C101,'👥 Estudiantes'!$C$3:$C$200,0)),"")</f>
      </c>
      <c r="F101" s="9" t="s">
        <v>700</v>
      </c>
      <c r="G101" s="10">
        <f>IFERROR(INDEX('🏢 Empresas'!$C$3:$C$200,MATCH($F101,'🏢 Empresas'!$B$3:$B$200,0)),"")</f>
      </c>
      <c r="H101" s="10">
        <f>IFERROR(INDEX('🏢 Empresas'!$D$3:$D$200,MATCH($F101,'🏢 Empresas'!$B$3:$B$200,0)),"")</f>
      </c>
      <c r="I101" s="10">
        <f>IFERROR(INDEX('🏢 Empresas'!$E$3:$E$200,MATCH($F101,'🏢 Empresas'!$B$3:$B$200,0)),"")</f>
      </c>
      <c r="J101" s="10">
        <f>IFERROR(INDEX('🏢 Empresas'!$F$3:$F$200,MATCH($F101,'🏢 Empresas'!$B$3:$B$200,0)),"")</f>
      </c>
      <c r="K101" s="9" t="s">
        <v>908</v>
      </c>
      <c r="L101" s="10">
        <f>IFERROR(INDEX('👥 Estudiantes'!$G$3:$G$200,MATCH($C101,'👥 Estudiantes'!$C$3:$C$200,0)),"")</f>
      </c>
      <c r="M101" s="10">
        <f>IFERROR(INDEX('👥 Estudiantes'!$H$3:$H$200,MATCH($C101,'👥 Estudiantes'!$C$3:$C$200,0)),"")</f>
      </c>
      <c r="N101" s="10">
        <f>IFERROR(INDEX('👥 Estudiantes'!$I$3:$I$200,MATCH($C101,'👥 Estudiantes'!$C$3:$C$200,0)),"")</f>
      </c>
      <c r="O101" s="10">
        <f>IFERROR(INDEX('👥 Estudiantes'!$J$3:$J$200,MATCH($C101,'👥 Estudiantes'!$C$3:$C$200,0)),"")</f>
      </c>
      <c r="P101" s="9" t="s">
        <v>919</v>
      </c>
    </row>
    <row r="102" spans="1:16" x14ac:dyDescent="0.25">
      <c r="A102">
        <f>IF($C102="","",ROW()-2)</f>
      </c>
      <c r="B102" s="8">
        <f>IFERROR(INDEX('👥 Estudiantes'!$B$3:$B$200,MATCH($C102,'👥 Estudiantes'!$C$3:$C$200,0)),"")</f>
      </c>
      <c r="C102" s="9" t="s">
        <v>437</v>
      </c>
      <c r="D102" s="10">
        <f>IFERROR(INDEX('👥 Estudiantes'!$D$3:$D$200,MATCH($C102,'👥 Estudiantes'!$C$3:$C$200,0)),"")</f>
      </c>
      <c r="E102" s="10">
        <f>IFERROR(INDEX('👥 Estudiantes'!$E$3:$E$200,MATCH($C102,'👥 Estudiantes'!$C$3:$C$200,0)),"")</f>
      </c>
      <c r="F102" s="9" t="s">
        <v>813</v>
      </c>
      <c r="G102" s="10">
        <f>IFERROR(INDEX('🏢 Empresas'!$C$3:$C$200,MATCH($F102,'🏢 Empresas'!$B$3:$B$200,0)),"")</f>
      </c>
      <c r="H102" s="10">
        <f>IFERROR(INDEX('🏢 Empresas'!$D$3:$D$200,MATCH($F102,'🏢 Empresas'!$B$3:$B$200,0)),"")</f>
      </c>
      <c r="I102" s="10">
        <f>IFERROR(INDEX('🏢 Empresas'!$E$3:$E$200,MATCH($F102,'🏢 Empresas'!$B$3:$B$200,0)),"")</f>
      </c>
      <c r="J102" s="10">
        <f>IFERROR(INDEX('🏢 Empresas'!$F$3:$F$200,MATCH($F102,'🏢 Empresas'!$B$3:$B$200,0)),"")</f>
      </c>
      <c r="K102" s="9" t="s">
        <v>900</v>
      </c>
      <c r="L102" s="10">
        <f>IFERROR(INDEX('👥 Estudiantes'!$G$3:$G$200,MATCH($C102,'👥 Estudiantes'!$C$3:$C$200,0)),"")</f>
      </c>
      <c r="M102" s="10">
        <f>IFERROR(INDEX('👥 Estudiantes'!$H$3:$H$200,MATCH($C102,'👥 Estudiantes'!$C$3:$C$200,0)),"")</f>
      </c>
      <c r="N102" s="10">
        <f>IFERROR(INDEX('👥 Estudiantes'!$I$3:$I$200,MATCH($C102,'👥 Estudiantes'!$C$3:$C$200,0)),"")</f>
      </c>
      <c r="O102" s="10">
        <f>IFERROR(INDEX('👥 Estudiantes'!$J$3:$J$200,MATCH($C102,'👥 Estudiantes'!$C$3:$C$200,0)),"")</f>
      </c>
      <c r="P102" s="9" t="s">
        <v>916</v>
      </c>
    </row>
    <row r="103" spans="1:16" x14ac:dyDescent="0.25">
      <c r="A103">
        <f>IF($C103="","",ROW()-2)</f>
      </c>
      <c r="B103" s="8">
        <f>IFERROR(INDEX('👥 Estudiantes'!$B$3:$B$200,MATCH($C103,'👥 Estudiantes'!$C$3:$C$200,0)),"")</f>
      </c>
      <c r="C103" s="9" t="s">
        <v>441</v>
      </c>
      <c r="D103" s="10">
        <f>IFERROR(INDEX('👥 Estudiantes'!$D$3:$D$200,MATCH($C103,'👥 Estudiantes'!$C$3:$C$200,0)),"")</f>
      </c>
      <c r="E103" s="10">
        <f>IFERROR(INDEX('👥 Estudiantes'!$E$3:$E$200,MATCH($C103,'👥 Estudiantes'!$C$3:$C$200,0)),"")</f>
      </c>
      <c r="F103" s="9" t="s">
        <v>773</v>
      </c>
      <c r="G103" s="10">
        <f>IFERROR(INDEX('🏢 Empresas'!$C$3:$C$200,MATCH($F103,'🏢 Empresas'!$B$3:$B$200,0)),"")</f>
      </c>
      <c r="H103" s="10">
        <f>IFERROR(INDEX('🏢 Empresas'!$D$3:$D$200,MATCH($F103,'🏢 Empresas'!$B$3:$B$200,0)),"")</f>
      </c>
      <c r="I103" s="10">
        <f>IFERROR(INDEX('🏢 Empresas'!$E$3:$E$200,MATCH($F103,'🏢 Empresas'!$B$3:$B$200,0)),"")</f>
      </c>
      <c r="J103" s="10">
        <f>IFERROR(INDEX('🏢 Empresas'!$F$3:$F$200,MATCH($F103,'🏢 Empresas'!$B$3:$B$200,0)),"")</f>
      </c>
      <c r="K103" s="9" t="s">
        <v>904</v>
      </c>
      <c r="L103" s="10">
        <f>IFERROR(INDEX('👥 Estudiantes'!$G$3:$G$200,MATCH($C103,'👥 Estudiantes'!$C$3:$C$200,0)),"")</f>
      </c>
      <c r="M103" s="10">
        <f>IFERROR(INDEX('👥 Estudiantes'!$H$3:$H$200,MATCH($C103,'👥 Estudiantes'!$C$3:$C$200,0)),"")</f>
      </c>
      <c r="N103" s="10">
        <f>IFERROR(INDEX('👥 Estudiantes'!$I$3:$I$200,MATCH($C103,'👥 Estudiantes'!$C$3:$C$200,0)),"")</f>
      </c>
      <c r="O103" s="10">
        <f>IFERROR(INDEX('👥 Estudiantes'!$J$3:$J$200,MATCH($C103,'👥 Estudiantes'!$C$3:$C$200,0)),"")</f>
      </c>
      <c r="P103" s="9" t="s">
        <v>918</v>
      </c>
    </row>
    <row r="104" spans="1:16" x14ac:dyDescent="0.25">
      <c r="A104">
        <f>IF($C104="","",ROW()-2)</f>
      </c>
      <c r="B104" s="8">
        <f>IFERROR(INDEX('👥 Estudiantes'!$B$3:$B$200,MATCH($C104,'👥 Estudiantes'!$C$3:$C$200,0)),"")</f>
      </c>
      <c r="C104" s="9" t="s">
        <v>445</v>
      </c>
      <c r="D104" s="10">
        <f>IFERROR(INDEX('👥 Estudiantes'!$D$3:$D$200,MATCH($C104,'👥 Estudiantes'!$C$3:$C$200,0)),"")</f>
      </c>
      <c r="E104" s="10">
        <f>IFERROR(INDEX('👥 Estudiantes'!$E$3:$E$200,MATCH($C104,'👥 Estudiantes'!$C$3:$C$200,0)),"")</f>
      </c>
      <c r="F104" s="9" t="s">
        <v>749</v>
      </c>
      <c r="G104" s="10">
        <f>IFERROR(INDEX('🏢 Empresas'!$C$3:$C$200,MATCH($F104,'🏢 Empresas'!$B$3:$B$200,0)),"")</f>
      </c>
      <c r="H104" s="10">
        <f>IFERROR(INDEX('🏢 Empresas'!$D$3:$D$200,MATCH($F104,'🏢 Empresas'!$B$3:$B$200,0)),"")</f>
      </c>
      <c r="I104" s="10">
        <f>IFERROR(INDEX('🏢 Empresas'!$E$3:$E$200,MATCH($F104,'🏢 Empresas'!$B$3:$B$200,0)),"")</f>
      </c>
      <c r="J104" s="10">
        <f>IFERROR(INDEX('🏢 Empresas'!$F$3:$F$200,MATCH($F104,'🏢 Empresas'!$B$3:$B$200,0)),"")</f>
      </c>
      <c r="K104" s="9" t="s">
        <v>898</v>
      </c>
      <c r="L104" s="10">
        <f>IFERROR(INDEX('👥 Estudiantes'!$G$3:$G$200,MATCH($C104,'👥 Estudiantes'!$C$3:$C$200,0)),"")</f>
      </c>
      <c r="M104" s="10">
        <f>IFERROR(INDEX('👥 Estudiantes'!$H$3:$H$200,MATCH($C104,'👥 Estudiantes'!$C$3:$C$200,0)),"")</f>
      </c>
      <c r="N104" s="10">
        <f>IFERROR(INDEX('👥 Estudiantes'!$I$3:$I$200,MATCH($C104,'👥 Estudiantes'!$C$3:$C$200,0)),"")</f>
      </c>
      <c r="O104" s="10">
        <f>IFERROR(INDEX('👥 Estudiantes'!$J$3:$J$200,MATCH($C104,'👥 Estudiantes'!$C$3:$C$200,0)),"")</f>
      </c>
      <c r="P104" s="9" t="s">
        <v>919</v>
      </c>
    </row>
    <row r="105" spans="1:16" x14ac:dyDescent="0.25">
      <c r="A105">
        <f>IF($C105="","",ROW()-2)</f>
      </c>
      <c r="B105" s="8">
        <f>IFERROR(INDEX('👥 Estudiantes'!$B$3:$B$200,MATCH($C105,'👥 Estudiantes'!$C$3:$C$200,0)),"")</f>
      </c>
      <c r="C105" s="9" t="s">
        <v>449</v>
      </c>
      <c r="D105" s="10">
        <f>IFERROR(INDEX('👥 Estudiantes'!$D$3:$D$200,MATCH($C105,'👥 Estudiantes'!$C$3:$C$200,0)),"")</f>
      </c>
      <c r="E105" s="10">
        <f>IFERROR(INDEX('👥 Estudiantes'!$E$3:$E$200,MATCH($C105,'👥 Estudiantes'!$C$3:$C$200,0)),"")</f>
      </c>
      <c r="F105" s="9" t="s">
        <v>855</v>
      </c>
      <c r="G105" s="10">
        <f>IFERROR(INDEX('🏢 Empresas'!$C$3:$C$200,MATCH($F105,'🏢 Empresas'!$B$3:$B$200,0)),"")</f>
      </c>
      <c r="H105" s="10">
        <f>IFERROR(INDEX('🏢 Empresas'!$D$3:$D$200,MATCH($F105,'🏢 Empresas'!$B$3:$B$200,0)),"")</f>
      </c>
      <c r="I105" s="10">
        <f>IFERROR(INDEX('🏢 Empresas'!$E$3:$E$200,MATCH($F105,'🏢 Empresas'!$B$3:$B$200,0)),"")</f>
      </c>
      <c r="J105" s="10">
        <f>IFERROR(INDEX('🏢 Empresas'!$F$3:$F$200,MATCH($F105,'🏢 Empresas'!$B$3:$B$200,0)),"")</f>
      </c>
      <c r="K105" s="9" t="s">
        <v>901</v>
      </c>
      <c r="L105" s="10">
        <f>IFERROR(INDEX('👥 Estudiantes'!$G$3:$G$200,MATCH($C105,'👥 Estudiantes'!$C$3:$C$200,0)),"")</f>
      </c>
      <c r="M105" s="10">
        <f>IFERROR(INDEX('👥 Estudiantes'!$H$3:$H$200,MATCH($C105,'👥 Estudiantes'!$C$3:$C$200,0)),"")</f>
      </c>
      <c r="N105" s="10">
        <f>IFERROR(INDEX('👥 Estudiantes'!$I$3:$I$200,MATCH($C105,'👥 Estudiantes'!$C$3:$C$200,0)),"")</f>
      </c>
      <c r="O105" s="10">
        <f>IFERROR(INDEX('👥 Estudiantes'!$J$3:$J$200,MATCH($C105,'👥 Estudiantes'!$C$3:$C$200,0)),"")</f>
      </c>
      <c r="P105" s="9" t="s">
        <v>918</v>
      </c>
    </row>
    <row r="106" spans="1:16" x14ac:dyDescent="0.25">
      <c r="A106">
        <f>IF($C106="","",ROW()-2)</f>
      </c>
      <c r="B106" s="8">
        <f>IFERROR(INDEX('👥 Estudiantes'!$B$3:$B$200,MATCH($C106,'👥 Estudiantes'!$C$3:$C$200,0)),"")</f>
      </c>
      <c r="C106" s="9" t="s">
        <v>453</v>
      </c>
      <c r="D106" s="10">
        <f>IFERROR(INDEX('👥 Estudiantes'!$D$3:$D$200,MATCH($C106,'👥 Estudiantes'!$C$3:$C$200,0)),"")</f>
      </c>
      <c r="E106" s="10">
        <f>IFERROR(INDEX('👥 Estudiantes'!$E$3:$E$200,MATCH($C106,'👥 Estudiantes'!$C$3:$C$200,0)),"")</f>
      </c>
      <c r="F106" s="9" t="s">
        <v>757</v>
      </c>
      <c r="G106" s="10">
        <f>IFERROR(INDEX('🏢 Empresas'!$C$3:$C$200,MATCH($F106,'🏢 Empresas'!$B$3:$B$200,0)),"")</f>
      </c>
      <c r="H106" s="10">
        <f>IFERROR(INDEX('🏢 Empresas'!$D$3:$D$200,MATCH($F106,'🏢 Empresas'!$B$3:$B$200,0)),"")</f>
      </c>
      <c r="I106" s="10">
        <f>IFERROR(INDEX('🏢 Empresas'!$E$3:$E$200,MATCH($F106,'🏢 Empresas'!$B$3:$B$200,0)),"")</f>
      </c>
      <c r="J106" s="10">
        <f>IFERROR(INDEX('🏢 Empresas'!$F$3:$F$200,MATCH($F106,'🏢 Empresas'!$B$3:$B$200,0)),"")</f>
      </c>
      <c r="K106" s="9" t="s">
        <v>905</v>
      </c>
      <c r="L106" s="10">
        <f>IFERROR(INDEX('👥 Estudiantes'!$G$3:$G$200,MATCH($C106,'👥 Estudiantes'!$C$3:$C$200,0)),"")</f>
      </c>
      <c r="M106" s="10">
        <f>IFERROR(INDEX('👥 Estudiantes'!$H$3:$H$200,MATCH($C106,'👥 Estudiantes'!$C$3:$C$200,0)),"")</f>
      </c>
      <c r="N106" s="10">
        <f>IFERROR(INDEX('👥 Estudiantes'!$I$3:$I$200,MATCH($C106,'👥 Estudiantes'!$C$3:$C$200,0)),"")</f>
      </c>
      <c r="O106" s="10">
        <f>IFERROR(INDEX('👥 Estudiantes'!$J$3:$J$200,MATCH($C106,'👥 Estudiantes'!$C$3:$C$200,0)),"")</f>
      </c>
      <c r="P106" s="9" t="s">
        <v>916</v>
      </c>
    </row>
    <row r="107" spans="1:16" x14ac:dyDescent="0.25">
      <c r="A107">
        <f>IF($C107="","",ROW()-2)</f>
      </c>
      <c r="B107" s="8">
        <f>IFERROR(INDEX('👥 Estudiantes'!$B$3:$B$200,MATCH($C107,'👥 Estudiantes'!$C$3:$C$200,0)),"")</f>
      </c>
      <c r="C107" s="9" t="s">
        <v>457</v>
      </c>
      <c r="D107" s="10">
        <f>IFERROR(INDEX('👥 Estudiantes'!$D$3:$D$200,MATCH($C107,'👥 Estudiantes'!$C$3:$C$200,0)),"")</f>
      </c>
      <c r="E107" s="10">
        <f>IFERROR(INDEX('👥 Estudiantes'!$E$3:$E$200,MATCH($C107,'👥 Estudiantes'!$C$3:$C$200,0)),"")</f>
      </c>
      <c r="F107" s="9" t="s">
        <v>798</v>
      </c>
      <c r="G107" s="10">
        <f>IFERROR(INDEX('🏢 Empresas'!$C$3:$C$200,MATCH($F107,'🏢 Empresas'!$B$3:$B$200,0)),"")</f>
      </c>
      <c r="H107" s="10">
        <f>IFERROR(INDEX('🏢 Empresas'!$D$3:$D$200,MATCH($F107,'🏢 Empresas'!$B$3:$B$200,0)),"")</f>
      </c>
      <c r="I107" s="10">
        <f>IFERROR(INDEX('🏢 Empresas'!$E$3:$E$200,MATCH($F107,'🏢 Empresas'!$B$3:$B$200,0)),"")</f>
      </c>
      <c r="J107" s="10">
        <f>IFERROR(INDEX('🏢 Empresas'!$F$3:$F$200,MATCH($F107,'🏢 Empresas'!$B$3:$B$200,0)),"")</f>
      </c>
      <c r="K107" s="9" t="s">
        <v>903</v>
      </c>
      <c r="L107" s="10">
        <f>IFERROR(INDEX('👥 Estudiantes'!$G$3:$G$200,MATCH($C107,'👥 Estudiantes'!$C$3:$C$200,0)),"")</f>
      </c>
      <c r="M107" s="10">
        <f>IFERROR(INDEX('👥 Estudiantes'!$H$3:$H$200,MATCH($C107,'👥 Estudiantes'!$C$3:$C$200,0)),"")</f>
      </c>
      <c r="N107" s="10">
        <f>IFERROR(INDEX('👥 Estudiantes'!$I$3:$I$200,MATCH($C107,'👥 Estudiantes'!$C$3:$C$200,0)),"")</f>
      </c>
      <c r="O107" s="10">
        <f>IFERROR(INDEX('👥 Estudiantes'!$J$3:$J$200,MATCH($C107,'👥 Estudiantes'!$C$3:$C$200,0)),"")</f>
      </c>
      <c r="P107" s="9" t="s">
        <v>919</v>
      </c>
    </row>
    <row r="108" spans="1:16" x14ac:dyDescent="0.25">
      <c r="A108">
        <f>IF($C108="","",ROW()-2)</f>
      </c>
      <c r="B108" s="8">
        <f>IFERROR(INDEX('👥 Estudiantes'!$B$3:$B$200,MATCH($C108,'👥 Estudiantes'!$C$3:$C$200,0)),"")</f>
      </c>
      <c r="C108" s="9" t="s">
        <v>461</v>
      </c>
      <c r="D108" s="10">
        <f>IFERROR(INDEX('👥 Estudiantes'!$D$3:$D$200,MATCH($C108,'👥 Estudiantes'!$C$3:$C$200,0)),"")</f>
      </c>
      <c r="E108" s="10">
        <f>IFERROR(INDEX('👥 Estudiantes'!$E$3:$E$200,MATCH($C108,'👥 Estudiantes'!$C$3:$C$200,0)),"")</f>
      </c>
      <c r="F108" s="9" t="s">
        <v>785</v>
      </c>
      <c r="G108" s="10">
        <f>IFERROR(INDEX('🏢 Empresas'!$C$3:$C$200,MATCH($F108,'🏢 Empresas'!$B$3:$B$200,0)),"")</f>
      </c>
      <c r="H108" s="10">
        <f>IFERROR(INDEX('🏢 Empresas'!$D$3:$D$200,MATCH($F108,'🏢 Empresas'!$B$3:$B$200,0)),"")</f>
      </c>
      <c r="I108" s="10">
        <f>IFERROR(INDEX('🏢 Empresas'!$E$3:$E$200,MATCH($F108,'🏢 Empresas'!$B$3:$B$200,0)),"")</f>
      </c>
      <c r="J108" s="10">
        <f>IFERROR(INDEX('🏢 Empresas'!$F$3:$F$200,MATCH($F108,'🏢 Empresas'!$B$3:$B$200,0)),"")</f>
      </c>
      <c r="K108" s="9" t="s">
        <v>900</v>
      </c>
      <c r="L108" s="10">
        <f>IFERROR(INDEX('👥 Estudiantes'!$G$3:$G$200,MATCH($C108,'👥 Estudiantes'!$C$3:$C$200,0)),"")</f>
      </c>
      <c r="M108" s="10">
        <f>IFERROR(INDEX('👥 Estudiantes'!$H$3:$H$200,MATCH($C108,'👥 Estudiantes'!$C$3:$C$200,0)),"")</f>
      </c>
      <c r="N108" s="10">
        <f>IFERROR(INDEX('👥 Estudiantes'!$I$3:$I$200,MATCH($C108,'👥 Estudiantes'!$C$3:$C$200,0)),"")</f>
      </c>
      <c r="O108" s="10">
        <f>IFERROR(INDEX('👥 Estudiantes'!$J$3:$J$200,MATCH($C108,'👥 Estudiantes'!$C$3:$C$200,0)),"")</f>
      </c>
      <c r="P108" s="9" t="s">
        <v>918</v>
      </c>
    </row>
    <row r="109" spans="1:16" x14ac:dyDescent="0.25">
      <c r="A109">
        <f>IF($C109="","",ROW()-2)</f>
      </c>
      <c r="B109" s="8">
        <f>IFERROR(INDEX('👥 Estudiantes'!$B$3:$B$200,MATCH($C109,'👥 Estudiantes'!$C$3:$C$200,0)),"")</f>
      </c>
      <c r="C109" s="9" t="s">
        <v>465</v>
      </c>
      <c r="D109" s="10">
        <f>IFERROR(INDEX('👥 Estudiantes'!$D$3:$D$200,MATCH($C109,'👥 Estudiantes'!$C$3:$C$200,0)),"")</f>
      </c>
      <c r="E109" s="10">
        <f>IFERROR(INDEX('👥 Estudiantes'!$E$3:$E$200,MATCH($C109,'👥 Estudiantes'!$C$3:$C$200,0)),"")</f>
      </c>
      <c r="F109" s="9" t="s">
        <v>703</v>
      </c>
      <c r="G109" s="10">
        <f>IFERROR(INDEX('🏢 Empresas'!$C$3:$C$200,MATCH($F109,'🏢 Empresas'!$B$3:$B$200,0)),"")</f>
      </c>
      <c r="H109" s="10">
        <f>IFERROR(INDEX('🏢 Empresas'!$D$3:$D$200,MATCH($F109,'🏢 Empresas'!$B$3:$B$200,0)),"")</f>
      </c>
      <c r="I109" s="10">
        <f>IFERROR(INDEX('🏢 Empresas'!$E$3:$E$200,MATCH($F109,'🏢 Empresas'!$B$3:$B$200,0)),"")</f>
      </c>
      <c r="J109" s="10">
        <f>IFERROR(INDEX('🏢 Empresas'!$F$3:$F$200,MATCH($F109,'🏢 Empresas'!$B$3:$B$200,0)),"")</f>
      </c>
      <c r="K109" s="9" t="s">
        <v>902</v>
      </c>
      <c r="L109" s="10">
        <f>IFERROR(INDEX('👥 Estudiantes'!$G$3:$G$200,MATCH($C109,'👥 Estudiantes'!$C$3:$C$200,0)),"")</f>
      </c>
      <c r="M109" s="10">
        <f>IFERROR(INDEX('👥 Estudiantes'!$H$3:$H$200,MATCH($C109,'👥 Estudiantes'!$C$3:$C$200,0)),"")</f>
      </c>
      <c r="N109" s="10">
        <f>IFERROR(INDEX('👥 Estudiantes'!$I$3:$I$200,MATCH($C109,'👥 Estudiantes'!$C$3:$C$200,0)),"")</f>
      </c>
      <c r="O109" s="10">
        <f>IFERROR(INDEX('👥 Estudiantes'!$J$3:$J$200,MATCH($C109,'👥 Estudiantes'!$C$3:$C$200,0)),"")</f>
      </c>
      <c r="P109" s="9" t="s">
        <v>920</v>
      </c>
    </row>
    <row r="110" spans="1:16" x14ac:dyDescent="0.25">
      <c r="A110">
        <f>IF($C110="","",ROW()-2)</f>
      </c>
      <c r="B110" s="8">
        <f>IFERROR(INDEX('👥 Estudiantes'!$B$3:$B$200,MATCH($C110,'👥 Estudiantes'!$C$3:$C$200,0)),"")</f>
      </c>
      <c r="C110" s="9" t="s">
        <v>469</v>
      </c>
      <c r="D110" s="10">
        <f>IFERROR(INDEX('👥 Estudiantes'!$D$3:$D$200,MATCH($C110,'👥 Estudiantes'!$C$3:$C$200,0)),"")</f>
      </c>
      <c r="E110" s="10">
        <f>IFERROR(INDEX('👥 Estudiantes'!$E$3:$E$200,MATCH($C110,'👥 Estudiantes'!$C$3:$C$200,0)),"")</f>
      </c>
      <c r="F110" s="9" t="s">
        <v>773</v>
      </c>
      <c r="G110" s="10">
        <f>IFERROR(INDEX('🏢 Empresas'!$C$3:$C$200,MATCH($F110,'🏢 Empresas'!$B$3:$B$200,0)),"")</f>
      </c>
      <c r="H110" s="10">
        <f>IFERROR(INDEX('🏢 Empresas'!$D$3:$D$200,MATCH($F110,'🏢 Empresas'!$B$3:$B$200,0)),"")</f>
      </c>
      <c r="I110" s="10">
        <f>IFERROR(INDEX('🏢 Empresas'!$E$3:$E$200,MATCH($F110,'🏢 Empresas'!$B$3:$B$200,0)),"")</f>
      </c>
      <c r="J110" s="10">
        <f>IFERROR(INDEX('🏢 Empresas'!$F$3:$F$200,MATCH($F110,'🏢 Empresas'!$B$3:$B$200,0)),"")</f>
      </c>
      <c r="K110" s="9" t="s">
        <v>908</v>
      </c>
      <c r="L110" s="10">
        <f>IFERROR(INDEX('👥 Estudiantes'!$G$3:$G$200,MATCH($C110,'👥 Estudiantes'!$C$3:$C$200,0)),"")</f>
      </c>
      <c r="M110" s="10">
        <f>IFERROR(INDEX('👥 Estudiantes'!$H$3:$H$200,MATCH($C110,'👥 Estudiantes'!$C$3:$C$200,0)),"")</f>
      </c>
      <c r="N110" s="10">
        <f>IFERROR(INDEX('👥 Estudiantes'!$I$3:$I$200,MATCH($C110,'👥 Estudiantes'!$C$3:$C$200,0)),"")</f>
      </c>
      <c r="O110" s="10">
        <f>IFERROR(INDEX('👥 Estudiantes'!$J$3:$J$200,MATCH($C110,'👥 Estudiantes'!$C$3:$C$200,0)),"")</f>
      </c>
      <c r="P110" s="9" t="s">
        <v>916</v>
      </c>
    </row>
    <row r="111" spans="1:16" x14ac:dyDescent="0.25">
      <c r="A111">
        <f>IF($C111="","",ROW()-2)</f>
      </c>
      <c r="B111" s="8">
        <f>IFERROR(INDEX('👥 Estudiantes'!$B$3:$B$200,MATCH($C111,'👥 Estudiantes'!$C$3:$C$200,0)),"")</f>
      </c>
      <c r="C111" s="9" t="s">
        <v>473</v>
      </c>
      <c r="D111" s="10">
        <f>IFERROR(INDEX('👥 Estudiantes'!$D$3:$D$200,MATCH($C111,'👥 Estudiantes'!$C$3:$C$200,0)),"")</f>
      </c>
      <c r="E111" s="10">
        <f>IFERROR(INDEX('👥 Estudiantes'!$E$3:$E$200,MATCH($C111,'👥 Estudiantes'!$C$3:$C$200,0)),"")</f>
      </c>
      <c r="F111" s="9" t="s">
        <v>696</v>
      </c>
      <c r="G111" s="10">
        <f>IFERROR(INDEX('🏢 Empresas'!$C$3:$C$200,MATCH($F111,'🏢 Empresas'!$B$3:$B$200,0)),"")</f>
      </c>
      <c r="H111" s="10">
        <f>IFERROR(INDEX('🏢 Empresas'!$D$3:$D$200,MATCH($F111,'🏢 Empresas'!$B$3:$B$200,0)),"")</f>
      </c>
      <c r="I111" s="10">
        <f>IFERROR(INDEX('🏢 Empresas'!$E$3:$E$200,MATCH($F111,'🏢 Empresas'!$B$3:$B$200,0)),"")</f>
      </c>
      <c r="J111" s="10">
        <f>IFERROR(INDEX('🏢 Empresas'!$F$3:$F$200,MATCH($F111,'🏢 Empresas'!$B$3:$B$200,0)),"")</f>
      </c>
      <c r="K111" s="9" t="s">
        <v>903</v>
      </c>
      <c r="L111" s="10">
        <f>IFERROR(INDEX('👥 Estudiantes'!$G$3:$G$200,MATCH($C111,'👥 Estudiantes'!$C$3:$C$200,0)),"")</f>
      </c>
      <c r="M111" s="10">
        <f>IFERROR(INDEX('👥 Estudiantes'!$H$3:$H$200,MATCH($C111,'👥 Estudiantes'!$C$3:$C$200,0)),"")</f>
      </c>
      <c r="N111" s="10">
        <f>IFERROR(INDEX('👥 Estudiantes'!$I$3:$I$200,MATCH($C111,'👥 Estudiantes'!$C$3:$C$200,0)),"")</f>
      </c>
      <c r="O111" s="10">
        <f>IFERROR(INDEX('👥 Estudiantes'!$J$3:$J$200,MATCH($C111,'👥 Estudiantes'!$C$3:$C$200,0)),"")</f>
      </c>
      <c r="P111" s="9" t="s">
        <v>920</v>
      </c>
    </row>
    <row r="112" spans="1:16" x14ac:dyDescent="0.25">
      <c r="A112">
        <f>IF($C112="","",ROW()-2)</f>
      </c>
      <c r="B112" s="8">
        <f>IFERROR(INDEX('👥 Estudiantes'!$B$3:$B$200,MATCH($C112,'👥 Estudiantes'!$C$3:$C$200,0)),"")</f>
      </c>
      <c r="C112" s="9" t="s">
        <v>477</v>
      </c>
      <c r="D112" s="10">
        <f>IFERROR(INDEX('👥 Estudiantes'!$D$3:$D$200,MATCH($C112,'👥 Estudiantes'!$C$3:$C$200,0)),"")</f>
      </c>
      <c r="E112" s="10">
        <f>IFERROR(INDEX('👥 Estudiantes'!$E$3:$E$200,MATCH($C112,'👥 Estudiantes'!$C$3:$C$200,0)),"")</f>
      </c>
      <c r="F112" s="9" t="s">
        <v>860</v>
      </c>
      <c r="G112" s="10">
        <f>IFERROR(INDEX('🏢 Empresas'!$C$3:$C$200,MATCH($F112,'🏢 Empresas'!$B$3:$B$200,0)),"")</f>
      </c>
      <c r="H112" s="10">
        <f>IFERROR(INDEX('🏢 Empresas'!$D$3:$D$200,MATCH($F112,'🏢 Empresas'!$B$3:$B$200,0)),"")</f>
      </c>
      <c r="I112" s="10">
        <f>IFERROR(INDEX('🏢 Empresas'!$E$3:$E$200,MATCH($F112,'🏢 Empresas'!$B$3:$B$200,0)),"")</f>
      </c>
      <c r="J112" s="10">
        <f>IFERROR(INDEX('🏢 Empresas'!$F$3:$F$200,MATCH($F112,'🏢 Empresas'!$B$3:$B$200,0)),"")</f>
      </c>
      <c r="K112" s="9" t="s">
        <v>902</v>
      </c>
      <c r="L112" s="10">
        <f>IFERROR(INDEX('👥 Estudiantes'!$G$3:$G$200,MATCH($C112,'👥 Estudiantes'!$C$3:$C$200,0)),"")</f>
      </c>
      <c r="M112" s="10">
        <f>IFERROR(INDEX('👥 Estudiantes'!$H$3:$H$200,MATCH($C112,'👥 Estudiantes'!$C$3:$C$200,0)),"")</f>
      </c>
      <c r="N112" s="10">
        <f>IFERROR(INDEX('👥 Estudiantes'!$I$3:$I$200,MATCH($C112,'👥 Estudiantes'!$C$3:$C$200,0)),"")</f>
      </c>
      <c r="O112" s="10">
        <f>IFERROR(INDEX('👥 Estudiantes'!$J$3:$J$200,MATCH($C112,'👥 Estudiantes'!$C$3:$C$200,0)),"")</f>
      </c>
      <c r="P112" s="9" t="s">
        <v>920</v>
      </c>
    </row>
    <row r="113" spans="1:16" x14ac:dyDescent="0.25">
      <c r="A113">
        <f>IF($C113="","",ROW()-2)</f>
      </c>
      <c r="B113" s="8">
        <f>IFERROR(INDEX('👥 Estudiantes'!$B$3:$B$200,MATCH($C113,'👥 Estudiantes'!$C$3:$C$200,0)),"")</f>
      </c>
      <c r="C113" s="9" t="s">
        <v>481</v>
      </c>
      <c r="D113" s="10">
        <f>IFERROR(INDEX('👥 Estudiantes'!$D$3:$D$200,MATCH($C113,'👥 Estudiantes'!$C$3:$C$200,0)),"")</f>
      </c>
      <c r="E113" s="10">
        <f>IFERROR(INDEX('👥 Estudiantes'!$E$3:$E$200,MATCH($C113,'👥 Estudiantes'!$C$3:$C$200,0)),"")</f>
      </c>
      <c r="F113" s="9" t="s">
        <v>708</v>
      </c>
      <c r="G113" s="10">
        <f>IFERROR(INDEX('🏢 Empresas'!$C$3:$C$200,MATCH($F113,'🏢 Empresas'!$B$3:$B$200,0)),"")</f>
      </c>
      <c r="H113" s="10">
        <f>IFERROR(INDEX('🏢 Empresas'!$D$3:$D$200,MATCH($F113,'🏢 Empresas'!$B$3:$B$200,0)),"")</f>
      </c>
      <c r="I113" s="10">
        <f>IFERROR(INDEX('🏢 Empresas'!$E$3:$E$200,MATCH($F113,'🏢 Empresas'!$B$3:$B$200,0)),"")</f>
      </c>
      <c r="J113" s="10">
        <f>IFERROR(INDEX('🏢 Empresas'!$F$3:$F$200,MATCH($F113,'🏢 Empresas'!$B$3:$B$200,0)),"")</f>
      </c>
      <c r="K113" s="9" t="s">
        <v>902</v>
      </c>
      <c r="L113" s="10">
        <f>IFERROR(INDEX('👥 Estudiantes'!$G$3:$G$200,MATCH($C113,'👥 Estudiantes'!$C$3:$C$200,0)),"")</f>
      </c>
      <c r="M113" s="10">
        <f>IFERROR(INDEX('👥 Estudiantes'!$H$3:$H$200,MATCH($C113,'👥 Estudiantes'!$C$3:$C$200,0)),"")</f>
      </c>
      <c r="N113" s="10">
        <f>IFERROR(INDEX('👥 Estudiantes'!$I$3:$I$200,MATCH($C113,'👥 Estudiantes'!$C$3:$C$200,0)),"")</f>
      </c>
      <c r="O113" s="10">
        <f>IFERROR(INDEX('👥 Estudiantes'!$J$3:$J$200,MATCH($C113,'👥 Estudiantes'!$C$3:$C$200,0)),"")</f>
      </c>
      <c r="P113" s="9" t="s">
        <v>919</v>
      </c>
    </row>
    <row r="114" spans="1:16" x14ac:dyDescent="0.25">
      <c r="A114">
        <f>IF($C114="","",ROW()-2)</f>
      </c>
      <c r="B114" s="8">
        <f>IFERROR(INDEX('👥 Estudiantes'!$B$3:$B$200,MATCH($C114,'👥 Estudiantes'!$C$3:$C$200,0)),"")</f>
      </c>
      <c r="C114" s="9" t="s">
        <v>485</v>
      </c>
      <c r="D114" s="10">
        <f>IFERROR(INDEX('👥 Estudiantes'!$D$3:$D$200,MATCH($C114,'👥 Estudiantes'!$C$3:$C$200,0)),"")</f>
      </c>
      <c r="E114" s="10">
        <f>IFERROR(INDEX('👥 Estudiantes'!$E$3:$E$200,MATCH($C114,'👥 Estudiantes'!$C$3:$C$200,0)),"")</f>
      </c>
      <c r="F114" s="9" t="s">
        <v>789</v>
      </c>
      <c r="G114" s="10">
        <f>IFERROR(INDEX('🏢 Empresas'!$C$3:$C$200,MATCH($F114,'🏢 Empresas'!$B$3:$B$200,0)),"")</f>
      </c>
      <c r="H114" s="10">
        <f>IFERROR(INDEX('🏢 Empresas'!$D$3:$D$200,MATCH($F114,'🏢 Empresas'!$B$3:$B$200,0)),"")</f>
      </c>
      <c r="I114" s="10">
        <f>IFERROR(INDEX('🏢 Empresas'!$E$3:$E$200,MATCH($F114,'🏢 Empresas'!$B$3:$B$200,0)),"")</f>
      </c>
      <c r="J114" s="10">
        <f>IFERROR(INDEX('🏢 Empresas'!$F$3:$F$200,MATCH($F114,'🏢 Empresas'!$B$3:$B$200,0)),"")</f>
      </c>
      <c r="K114" s="9" t="s">
        <v>899</v>
      </c>
      <c r="L114" s="10">
        <f>IFERROR(INDEX('👥 Estudiantes'!$G$3:$G$200,MATCH($C114,'👥 Estudiantes'!$C$3:$C$200,0)),"")</f>
      </c>
      <c r="M114" s="10">
        <f>IFERROR(INDEX('👥 Estudiantes'!$H$3:$H$200,MATCH($C114,'👥 Estudiantes'!$C$3:$C$200,0)),"")</f>
      </c>
      <c r="N114" s="10">
        <f>IFERROR(INDEX('👥 Estudiantes'!$I$3:$I$200,MATCH($C114,'👥 Estudiantes'!$C$3:$C$200,0)),"")</f>
      </c>
      <c r="O114" s="10">
        <f>IFERROR(INDEX('👥 Estudiantes'!$J$3:$J$200,MATCH($C114,'👥 Estudiantes'!$C$3:$C$200,0)),"")</f>
      </c>
      <c r="P114" s="9" t="s">
        <v>920</v>
      </c>
    </row>
    <row r="115" spans="1:16" x14ac:dyDescent="0.25">
      <c r="A115">
        <f>IF($C115="","",ROW()-2)</f>
      </c>
      <c r="B115" s="8">
        <f>IFERROR(INDEX('👥 Estudiantes'!$B$3:$B$200,MATCH($C115,'👥 Estudiantes'!$C$3:$C$200,0)),"")</f>
      </c>
      <c r="C115" s="9" t="s">
        <v>489</v>
      </c>
      <c r="D115" s="10">
        <f>IFERROR(INDEX('👥 Estudiantes'!$D$3:$D$200,MATCH($C115,'👥 Estudiantes'!$C$3:$C$200,0)),"")</f>
      </c>
      <c r="E115" s="10">
        <f>IFERROR(INDEX('👥 Estudiantes'!$E$3:$E$200,MATCH($C115,'👥 Estudiantes'!$C$3:$C$200,0)),"")</f>
      </c>
      <c r="F115" s="9" t="s">
        <v>703</v>
      </c>
      <c r="G115" s="10">
        <f>IFERROR(INDEX('🏢 Empresas'!$C$3:$C$200,MATCH($F115,'🏢 Empresas'!$B$3:$B$200,0)),"")</f>
      </c>
      <c r="H115" s="10">
        <f>IFERROR(INDEX('🏢 Empresas'!$D$3:$D$200,MATCH($F115,'🏢 Empresas'!$B$3:$B$200,0)),"")</f>
      </c>
      <c r="I115" s="10">
        <f>IFERROR(INDEX('🏢 Empresas'!$E$3:$E$200,MATCH($F115,'🏢 Empresas'!$B$3:$B$200,0)),"")</f>
      </c>
      <c r="J115" s="10">
        <f>IFERROR(INDEX('🏢 Empresas'!$F$3:$F$200,MATCH($F115,'🏢 Empresas'!$B$3:$B$200,0)),"")</f>
      </c>
      <c r="K115" s="9" t="s">
        <v>898</v>
      </c>
      <c r="L115" s="10">
        <f>IFERROR(INDEX('👥 Estudiantes'!$G$3:$G$200,MATCH($C115,'👥 Estudiantes'!$C$3:$C$200,0)),"")</f>
      </c>
      <c r="M115" s="10">
        <f>IFERROR(INDEX('👥 Estudiantes'!$H$3:$H$200,MATCH($C115,'👥 Estudiantes'!$C$3:$C$200,0)),"")</f>
      </c>
      <c r="N115" s="10">
        <f>IFERROR(INDEX('👥 Estudiantes'!$I$3:$I$200,MATCH($C115,'👥 Estudiantes'!$C$3:$C$200,0)),"")</f>
      </c>
      <c r="O115" s="10">
        <f>IFERROR(INDEX('👥 Estudiantes'!$J$3:$J$200,MATCH($C115,'👥 Estudiantes'!$C$3:$C$200,0)),"")</f>
      </c>
      <c r="P115" s="9" t="s">
        <v>920</v>
      </c>
    </row>
    <row r="116" spans="1:16" x14ac:dyDescent="0.25">
      <c r="A116">
        <f>IF($C116="","",ROW()-2)</f>
      </c>
      <c r="B116" s="8">
        <f>IFERROR(INDEX('👥 Estudiantes'!$B$3:$B$200,MATCH($C116,'👥 Estudiantes'!$C$3:$C$200,0)),"")</f>
      </c>
      <c r="C116" s="9" t="s">
        <v>493</v>
      </c>
      <c r="D116" s="10">
        <f>IFERROR(INDEX('👥 Estudiantes'!$D$3:$D$200,MATCH($C116,'👥 Estudiantes'!$C$3:$C$200,0)),"")</f>
      </c>
      <c r="E116" s="10">
        <f>IFERROR(INDEX('👥 Estudiantes'!$E$3:$E$200,MATCH($C116,'👥 Estudiantes'!$C$3:$C$200,0)),"")</f>
      </c>
      <c r="F116" s="9" t="s">
        <v>599</v>
      </c>
      <c r="G116" s="10">
        <f>IFERROR(INDEX('🏢 Empresas'!$C$3:$C$200,MATCH($F116,'🏢 Empresas'!$B$3:$B$200,0)),"")</f>
      </c>
      <c r="H116" s="10">
        <f>IFERROR(INDEX('🏢 Empresas'!$D$3:$D$200,MATCH($F116,'🏢 Empresas'!$B$3:$B$200,0)),"")</f>
      </c>
      <c r="I116" s="10">
        <f>IFERROR(INDEX('🏢 Empresas'!$E$3:$E$200,MATCH($F116,'🏢 Empresas'!$B$3:$B$200,0)),"")</f>
      </c>
      <c r="J116" s="10">
        <f>IFERROR(INDEX('🏢 Empresas'!$F$3:$F$200,MATCH($F116,'🏢 Empresas'!$B$3:$B$200,0)),"")</f>
      </c>
      <c r="K116" s="9" t="s">
        <v>898</v>
      </c>
      <c r="L116" s="10">
        <f>IFERROR(INDEX('👥 Estudiantes'!$G$3:$G$200,MATCH($C116,'👥 Estudiantes'!$C$3:$C$200,0)),"")</f>
      </c>
      <c r="M116" s="10">
        <f>IFERROR(INDEX('👥 Estudiantes'!$H$3:$H$200,MATCH($C116,'👥 Estudiantes'!$C$3:$C$200,0)),"")</f>
      </c>
      <c r="N116" s="10">
        <f>IFERROR(INDEX('👥 Estudiantes'!$I$3:$I$200,MATCH($C116,'👥 Estudiantes'!$C$3:$C$200,0)),"")</f>
      </c>
      <c r="O116" s="10">
        <f>IFERROR(INDEX('👥 Estudiantes'!$J$3:$J$200,MATCH($C116,'👥 Estudiantes'!$C$3:$C$200,0)),"")</f>
      </c>
      <c r="P116" s="9" t="s">
        <v>919</v>
      </c>
    </row>
    <row r="117" spans="1:16" x14ac:dyDescent="0.25">
      <c r="A117">
        <f>IF($C117="","",ROW()-2)</f>
      </c>
      <c r="B117" s="8">
        <f>IFERROR(INDEX('👥 Estudiantes'!$B$3:$B$200,MATCH($C117,'👥 Estudiantes'!$C$3:$C$200,0)),"")</f>
      </c>
      <c r="C117" s="9" t="s">
        <v>497</v>
      </c>
      <c r="D117" s="10">
        <f>IFERROR(INDEX('👥 Estudiantes'!$D$3:$D$200,MATCH($C117,'👥 Estudiantes'!$C$3:$C$200,0)),"")</f>
      </c>
      <c r="E117" s="10">
        <f>IFERROR(INDEX('👥 Estudiantes'!$E$3:$E$200,MATCH($C117,'👥 Estudiantes'!$C$3:$C$200,0)),"")</f>
      </c>
      <c r="F117" s="9" t="s">
        <v>735</v>
      </c>
      <c r="G117" s="10">
        <f>IFERROR(INDEX('🏢 Empresas'!$C$3:$C$200,MATCH($F117,'🏢 Empresas'!$B$3:$B$200,0)),"")</f>
      </c>
      <c r="H117" s="10">
        <f>IFERROR(INDEX('🏢 Empresas'!$D$3:$D$200,MATCH($F117,'🏢 Empresas'!$B$3:$B$200,0)),"")</f>
      </c>
      <c r="I117" s="10">
        <f>IFERROR(INDEX('🏢 Empresas'!$E$3:$E$200,MATCH($F117,'🏢 Empresas'!$B$3:$B$200,0)),"")</f>
      </c>
      <c r="J117" s="10">
        <f>IFERROR(INDEX('🏢 Empresas'!$F$3:$F$200,MATCH($F117,'🏢 Empresas'!$B$3:$B$200,0)),"")</f>
      </c>
      <c r="K117" s="9" t="s">
        <v>908</v>
      </c>
      <c r="L117" s="10">
        <f>IFERROR(INDEX('👥 Estudiantes'!$G$3:$G$200,MATCH($C117,'👥 Estudiantes'!$C$3:$C$200,0)),"")</f>
      </c>
      <c r="M117" s="10">
        <f>IFERROR(INDEX('👥 Estudiantes'!$H$3:$H$200,MATCH($C117,'👥 Estudiantes'!$C$3:$C$200,0)),"")</f>
      </c>
      <c r="N117" s="10">
        <f>IFERROR(INDEX('👥 Estudiantes'!$I$3:$I$200,MATCH($C117,'👥 Estudiantes'!$C$3:$C$200,0)),"")</f>
      </c>
      <c r="O117" s="10">
        <f>IFERROR(INDEX('👥 Estudiantes'!$J$3:$J$200,MATCH($C117,'👥 Estudiantes'!$C$3:$C$200,0)),"")</f>
      </c>
      <c r="P117" s="9" t="s">
        <v>916</v>
      </c>
    </row>
    <row r="118" spans="1:16" x14ac:dyDescent="0.25">
      <c r="A118">
        <f>IF($C118="","",ROW()-2)</f>
      </c>
      <c r="B118" s="8">
        <f>IFERROR(INDEX('👥 Estudiantes'!$B$3:$B$200,MATCH($C118,'👥 Estudiantes'!$C$3:$C$200,0)),"")</f>
      </c>
      <c r="C118" s="9" t="s">
        <v>501</v>
      </c>
      <c r="D118" s="10">
        <f>IFERROR(INDEX('👥 Estudiantes'!$D$3:$D$200,MATCH($C118,'👥 Estudiantes'!$C$3:$C$200,0)),"")</f>
      </c>
      <c r="E118" s="10">
        <f>IFERROR(INDEX('👥 Estudiantes'!$E$3:$E$200,MATCH($C118,'👥 Estudiantes'!$C$3:$C$200,0)),"")</f>
      </c>
      <c r="F118" s="9" t="s">
        <v>883</v>
      </c>
      <c r="G118" s="10">
        <f>IFERROR(INDEX('🏢 Empresas'!$C$3:$C$200,MATCH($F118,'🏢 Empresas'!$B$3:$B$200,0)),"")</f>
      </c>
      <c r="H118" s="10">
        <f>IFERROR(INDEX('🏢 Empresas'!$D$3:$D$200,MATCH($F118,'🏢 Empresas'!$B$3:$B$200,0)),"")</f>
      </c>
      <c r="I118" s="10">
        <f>IFERROR(INDEX('🏢 Empresas'!$E$3:$E$200,MATCH($F118,'🏢 Empresas'!$B$3:$B$200,0)),"")</f>
      </c>
      <c r="J118" s="10">
        <f>IFERROR(INDEX('🏢 Empresas'!$F$3:$F$200,MATCH($F118,'🏢 Empresas'!$B$3:$B$200,0)),"")</f>
      </c>
      <c r="K118" s="9" t="s">
        <v>899</v>
      </c>
      <c r="L118" s="10">
        <f>IFERROR(INDEX('👥 Estudiantes'!$G$3:$G$200,MATCH($C118,'👥 Estudiantes'!$C$3:$C$200,0)),"")</f>
      </c>
      <c r="M118" s="10">
        <f>IFERROR(INDEX('👥 Estudiantes'!$H$3:$H$200,MATCH($C118,'👥 Estudiantes'!$C$3:$C$200,0)),"")</f>
      </c>
      <c r="N118" s="10">
        <f>IFERROR(INDEX('👥 Estudiantes'!$I$3:$I$200,MATCH($C118,'👥 Estudiantes'!$C$3:$C$200,0)),"")</f>
      </c>
      <c r="O118" s="10">
        <f>IFERROR(INDEX('👥 Estudiantes'!$J$3:$J$200,MATCH($C118,'👥 Estudiantes'!$C$3:$C$200,0)),"")</f>
      </c>
      <c r="P118" s="9" t="s">
        <v>922</v>
      </c>
    </row>
    <row r="119" spans="1:16" x14ac:dyDescent="0.25">
      <c r="A119">
        <f>IF($C119="","",ROW()-2)</f>
      </c>
      <c r="B119" s="8">
        <f>IFERROR(INDEX('👥 Estudiantes'!$B$3:$B$200,MATCH($C119,'👥 Estudiantes'!$C$3:$C$200,0)),"")</f>
      </c>
      <c r="C119" s="9" t="s">
        <v>505</v>
      </c>
      <c r="D119" s="10">
        <f>IFERROR(INDEX('👥 Estudiantes'!$D$3:$D$200,MATCH($C119,'👥 Estudiantes'!$C$3:$C$200,0)),"")</f>
      </c>
      <c r="E119" s="10">
        <f>IFERROR(INDEX('👥 Estudiantes'!$E$3:$E$200,MATCH($C119,'👥 Estudiantes'!$C$3:$C$200,0)),"")</f>
      </c>
      <c r="F119" s="9" t="s">
        <v>618</v>
      </c>
      <c r="G119" s="10">
        <f>IFERROR(INDEX('🏢 Empresas'!$C$3:$C$200,MATCH($F119,'🏢 Empresas'!$B$3:$B$200,0)),"")</f>
      </c>
      <c r="H119" s="10">
        <f>IFERROR(INDEX('🏢 Empresas'!$D$3:$D$200,MATCH($F119,'🏢 Empresas'!$B$3:$B$200,0)),"")</f>
      </c>
      <c r="I119" s="10">
        <f>IFERROR(INDEX('🏢 Empresas'!$E$3:$E$200,MATCH($F119,'🏢 Empresas'!$B$3:$B$200,0)),"")</f>
      </c>
      <c r="J119" s="10">
        <f>IFERROR(INDEX('🏢 Empresas'!$F$3:$F$200,MATCH($F119,'🏢 Empresas'!$B$3:$B$200,0)),"")</f>
      </c>
      <c r="K119" s="9" t="s">
        <v>907</v>
      </c>
      <c r="L119" s="10">
        <f>IFERROR(INDEX('👥 Estudiantes'!$G$3:$G$200,MATCH($C119,'👥 Estudiantes'!$C$3:$C$200,0)),"")</f>
      </c>
      <c r="M119" s="10">
        <f>IFERROR(INDEX('👥 Estudiantes'!$H$3:$H$200,MATCH($C119,'👥 Estudiantes'!$C$3:$C$200,0)),"")</f>
      </c>
      <c r="N119" s="10">
        <f>IFERROR(INDEX('👥 Estudiantes'!$I$3:$I$200,MATCH($C119,'👥 Estudiantes'!$C$3:$C$200,0)),"")</f>
      </c>
      <c r="O119" s="10">
        <f>IFERROR(INDEX('👥 Estudiantes'!$J$3:$J$200,MATCH($C119,'👥 Estudiantes'!$C$3:$C$200,0)),"")</f>
      </c>
      <c r="P119" s="9" t="s">
        <v>918</v>
      </c>
    </row>
    <row r="120" spans="1:16" x14ac:dyDescent="0.25">
      <c r="A120">
        <f>IF($C120="","",ROW()-2)</f>
      </c>
      <c r="B120" s="8">
        <f>IFERROR(INDEX('👥 Estudiantes'!$B$3:$B$200,MATCH($C120,'👥 Estudiantes'!$C$3:$C$200,0)),"")</f>
      </c>
      <c r="C120" s="9" t="s">
        <v>509</v>
      </c>
      <c r="D120" s="10">
        <f>IFERROR(INDEX('👥 Estudiantes'!$D$3:$D$200,MATCH($C120,'👥 Estudiantes'!$C$3:$C$200,0)),"")</f>
      </c>
      <c r="E120" s="10">
        <f>IFERROR(INDEX('👥 Estudiantes'!$E$3:$E$200,MATCH($C120,'👥 Estudiantes'!$C$3:$C$200,0)),"")</f>
      </c>
      <c r="F120" s="9" t="s">
        <v>766</v>
      </c>
      <c r="G120" s="10">
        <f>IFERROR(INDEX('🏢 Empresas'!$C$3:$C$200,MATCH($F120,'🏢 Empresas'!$B$3:$B$200,0)),"")</f>
      </c>
      <c r="H120" s="10">
        <f>IFERROR(INDEX('🏢 Empresas'!$D$3:$D$200,MATCH($F120,'🏢 Empresas'!$B$3:$B$200,0)),"")</f>
      </c>
      <c r="I120" s="10">
        <f>IFERROR(INDEX('🏢 Empresas'!$E$3:$E$200,MATCH($F120,'🏢 Empresas'!$B$3:$B$200,0)),"")</f>
      </c>
      <c r="J120" s="10">
        <f>IFERROR(INDEX('🏢 Empresas'!$F$3:$F$200,MATCH($F120,'🏢 Empresas'!$B$3:$B$200,0)),"")</f>
      </c>
      <c r="K120" s="9" t="s">
        <v>898</v>
      </c>
      <c r="L120" s="10">
        <f>IFERROR(INDEX('👥 Estudiantes'!$G$3:$G$200,MATCH($C120,'👥 Estudiantes'!$C$3:$C$200,0)),"")</f>
      </c>
      <c r="M120" s="10">
        <f>IFERROR(INDEX('👥 Estudiantes'!$H$3:$H$200,MATCH($C120,'👥 Estudiantes'!$C$3:$C$200,0)),"")</f>
      </c>
      <c r="N120" s="10">
        <f>IFERROR(INDEX('👥 Estudiantes'!$I$3:$I$200,MATCH($C120,'👥 Estudiantes'!$C$3:$C$200,0)),"")</f>
      </c>
      <c r="O120" s="10">
        <f>IFERROR(INDEX('👥 Estudiantes'!$J$3:$J$200,MATCH($C120,'👥 Estudiantes'!$C$3:$C$200,0)),"")</f>
      </c>
      <c r="P120" s="9" t="s">
        <v>918</v>
      </c>
    </row>
    <row r="121" spans="1:16" x14ac:dyDescent="0.25">
      <c r="A121">
        <f>IF($C121="","",ROW()-2)</f>
      </c>
      <c r="B121" s="8">
        <f>IFERROR(INDEX('👥 Estudiantes'!$B$3:$B$200,MATCH($C121,'👥 Estudiantes'!$C$3:$C$200,0)),"")</f>
      </c>
      <c r="C121" s="9" t="s">
        <v>513</v>
      </c>
      <c r="D121" s="10">
        <f>IFERROR(INDEX('👥 Estudiantes'!$D$3:$D$200,MATCH($C121,'👥 Estudiantes'!$C$3:$C$200,0)),"")</f>
      </c>
      <c r="E121" s="10">
        <f>IFERROR(INDEX('👥 Estudiantes'!$E$3:$E$200,MATCH($C121,'👥 Estudiantes'!$C$3:$C$200,0)),"")</f>
      </c>
      <c r="F121" s="9" t="s">
        <v>708</v>
      </c>
      <c r="G121" s="10">
        <f>IFERROR(INDEX('🏢 Empresas'!$C$3:$C$200,MATCH($F121,'🏢 Empresas'!$B$3:$B$200,0)),"")</f>
      </c>
      <c r="H121" s="10">
        <f>IFERROR(INDEX('🏢 Empresas'!$D$3:$D$200,MATCH($F121,'🏢 Empresas'!$B$3:$B$200,0)),"")</f>
      </c>
      <c r="I121" s="10">
        <f>IFERROR(INDEX('🏢 Empresas'!$E$3:$E$200,MATCH($F121,'🏢 Empresas'!$B$3:$B$200,0)),"")</f>
      </c>
      <c r="J121" s="10">
        <f>IFERROR(INDEX('🏢 Empresas'!$F$3:$F$200,MATCH($F121,'🏢 Empresas'!$B$3:$B$200,0)),"")</f>
      </c>
      <c r="K121" s="9" t="s">
        <v>902</v>
      </c>
      <c r="L121" s="10">
        <f>IFERROR(INDEX('👥 Estudiantes'!$G$3:$G$200,MATCH($C121,'👥 Estudiantes'!$C$3:$C$200,0)),"")</f>
      </c>
      <c r="M121" s="10">
        <f>IFERROR(INDEX('👥 Estudiantes'!$H$3:$H$200,MATCH($C121,'👥 Estudiantes'!$C$3:$C$200,0)),"")</f>
      </c>
      <c r="N121" s="10">
        <f>IFERROR(INDEX('👥 Estudiantes'!$I$3:$I$200,MATCH($C121,'👥 Estudiantes'!$C$3:$C$200,0)),"")</f>
      </c>
      <c r="O121" s="10">
        <f>IFERROR(INDEX('👥 Estudiantes'!$J$3:$J$200,MATCH($C121,'👥 Estudiantes'!$C$3:$C$200,0)),"")</f>
      </c>
      <c r="P121" s="9" t="s">
        <v>916</v>
      </c>
    </row>
    <row r="122" spans="1:16" x14ac:dyDescent="0.25">
      <c r="A122">
        <f>IF($C122="","",ROW()-2)</f>
      </c>
      <c r="B122" s="8">
        <f>IFERROR(INDEX('👥 Estudiantes'!$B$3:$B$200,MATCH($C122,'👥 Estudiantes'!$C$3:$C$200,0)),"")</f>
      </c>
      <c r="C122" s="9" t="s">
        <v>517</v>
      </c>
      <c r="D122" s="10">
        <f>IFERROR(INDEX('👥 Estudiantes'!$D$3:$D$200,MATCH($C122,'👥 Estudiantes'!$C$3:$C$200,0)),"")</f>
      </c>
      <c r="E122" s="10">
        <f>IFERROR(INDEX('👥 Estudiantes'!$E$3:$E$200,MATCH($C122,'👥 Estudiantes'!$C$3:$C$200,0)),"")</f>
      </c>
      <c r="F122" s="9" t="s">
        <v>613</v>
      </c>
      <c r="G122" s="10">
        <f>IFERROR(INDEX('🏢 Empresas'!$C$3:$C$200,MATCH($F122,'🏢 Empresas'!$B$3:$B$200,0)),"")</f>
      </c>
      <c r="H122" s="10">
        <f>IFERROR(INDEX('🏢 Empresas'!$D$3:$D$200,MATCH($F122,'🏢 Empresas'!$B$3:$B$200,0)),"")</f>
      </c>
      <c r="I122" s="10">
        <f>IFERROR(INDEX('🏢 Empresas'!$E$3:$E$200,MATCH($F122,'🏢 Empresas'!$B$3:$B$200,0)),"")</f>
      </c>
      <c r="J122" s="10">
        <f>IFERROR(INDEX('🏢 Empresas'!$F$3:$F$200,MATCH($F122,'🏢 Empresas'!$B$3:$B$200,0)),"")</f>
      </c>
      <c r="K122" s="9" t="s">
        <v>906</v>
      </c>
      <c r="L122" s="10">
        <f>IFERROR(INDEX('👥 Estudiantes'!$G$3:$G$200,MATCH($C122,'👥 Estudiantes'!$C$3:$C$200,0)),"")</f>
      </c>
      <c r="M122" s="10">
        <f>IFERROR(INDEX('👥 Estudiantes'!$H$3:$H$200,MATCH($C122,'👥 Estudiantes'!$C$3:$C$200,0)),"")</f>
      </c>
      <c r="N122" s="10">
        <f>IFERROR(INDEX('👥 Estudiantes'!$I$3:$I$200,MATCH($C122,'👥 Estudiantes'!$C$3:$C$200,0)),"")</f>
      </c>
      <c r="O122" s="10">
        <f>IFERROR(INDEX('👥 Estudiantes'!$J$3:$J$200,MATCH($C122,'👥 Estudiantes'!$C$3:$C$200,0)),"")</f>
      </c>
      <c r="P122" s="9" t="s">
        <v>916</v>
      </c>
    </row>
    <row r="123" spans="1:16" x14ac:dyDescent="0.25">
      <c r="A123">
        <f>IF($C123="","",ROW()-2)</f>
      </c>
      <c r="B123" s="8">
        <f>IFERROR(INDEX('👥 Estudiantes'!$B$3:$B$200,MATCH($C123,'👥 Estudiantes'!$C$3:$C$200,0)),"")</f>
      </c>
      <c r="C123" s="9" t="s">
        <v>521</v>
      </c>
      <c r="D123" s="10">
        <f>IFERROR(INDEX('👥 Estudiantes'!$D$3:$D$200,MATCH($C123,'👥 Estudiantes'!$C$3:$C$200,0)),"")</f>
      </c>
      <c r="E123" s="10">
        <f>IFERROR(INDEX('👥 Estudiantes'!$E$3:$E$200,MATCH($C123,'👥 Estudiantes'!$C$3:$C$200,0)),"")</f>
      </c>
      <c r="F123" s="9" t="s">
        <v>708</v>
      </c>
      <c r="G123" s="10">
        <f>IFERROR(INDEX('🏢 Empresas'!$C$3:$C$200,MATCH($F123,'🏢 Empresas'!$B$3:$B$200,0)),"")</f>
      </c>
      <c r="H123" s="10">
        <f>IFERROR(INDEX('🏢 Empresas'!$D$3:$D$200,MATCH($F123,'🏢 Empresas'!$B$3:$B$200,0)),"")</f>
      </c>
      <c r="I123" s="10">
        <f>IFERROR(INDEX('🏢 Empresas'!$E$3:$E$200,MATCH($F123,'🏢 Empresas'!$B$3:$B$200,0)),"")</f>
      </c>
      <c r="J123" s="10">
        <f>IFERROR(INDEX('🏢 Empresas'!$F$3:$F$200,MATCH($F123,'🏢 Empresas'!$B$3:$B$200,0)),"")</f>
      </c>
      <c r="K123" s="9" t="s">
        <v>903</v>
      </c>
      <c r="L123" s="10">
        <f>IFERROR(INDEX('👥 Estudiantes'!$G$3:$G$200,MATCH($C123,'👥 Estudiantes'!$C$3:$C$200,0)),"")</f>
      </c>
      <c r="M123" s="10">
        <f>IFERROR(INDEX('👥 Estudiantes'!$H$3:$H$200,MATCH($C123,'👥 Estudiantes'!$C$3:$C$200,0)),"")</f>
      </c>
      <c r="N123" s="10">
        <f>IFERROR(INDEX('👥 Estudiantes'!$I$3:$I$200,MATCH($C123,'👥 Estudiantes'!$C$3:$C$200,0)),"")</f>
      </c>
      <c r="O123" s="10">
        <f>IFERROR(INDEX('👥 Estudiantes'!$J$3:$J$200,MATCH($C123,'👥 Estudiantes'!$C$3:$C$200,0)),"")</f>
      </c>
      <c r="P123" s="9" t="s">
        <v>918</v>
      </c>
    </row>
    <row r="124" spans="1:16" x14ac:dyDescent="0.25">
      <c r="A124">
        <f>IF($C124="","",ROW()-2)</f>
      </c>
      <c r="B124" s="8">
        <f>IFERROR(INDEX('👥 Estudiantes'!$B$3:$B$200,MATCH($C124,'👥 Estudiantes'!$C$3:$C$200,0)),"")</f>
      </c>
      <c r="C124" s="9" t="s">
        <v>525</v>
      </c>
      <c r="D124" s="10">
        <f>IFERROR(INDEX('👥 Estudiantes'!$D$3:$D$200,MATCH($C124,'👥 Estudiantes'!$C$3:$C$200,0)),"")</f>
      </c>
      <c r="E124" s="10">
        <f>IFERROR(INDEX('👥 Estudiantes'!$E$3:$E$200,MATCH($C124,'👥 Estudiantes'!$C$3:$C$200,0)),"")</f>
      </c>
      <c r="F124" s="9" t="s">
        <v>640</v>
      </c>
      <c r="G124" s="10">
        <f>IFERROR(INDEX('🏢 Empresas'!$C$3:$C$200,MATCH($F124,'🏢 Empresas'!$B$3:$B$200,0)),"")</f>
      </c>
      <c r="H124" s="10">
        <f>IFERROR(INDEX('🏢 Empresas'!$D$3:$D$200,MATCH($F124,'🏢 Empresas'!$B$3:$B$200,0)),"")</f>
      </c>
      <c r="I124" s="10">
        <f>IFERROR(INDEX('🏢 Empresas'!$E$3:$E$200,MATCH($F124,'🏢 Empresas'!$B$3:$B$200,0)),"")</f>
      </c>
      <c r="J124" s="10">
        <f>IFERROR(INDEX('🏢 Empresas'!$F$3:$F$200,MATCH($F124,'🏢 Empresas'!$B$3:$B$200,0)),"")</f>
      </c>
      <c r="K124" s="9" t="s">
        <v>899</v>
      </c>
      <c r="L124" s="10">
        <f>IFERROR(INDEX('👥 Estudiantes'!$G$3:$G$200,MATCH($C124,'👥 Estudiantes'!$C$3:$C$200,0)),"")</f>
      </c>
      <c r="M124" s="10">
        <f>IFERROR(INDEX('👥 Estudiantes'!$H$3:$H$200,MATCH($C124,'👥 Estudiantes'!$C$3:$C$200,0)),"")</f>
      </c>
      <c r="N124" s="10">
        <f>IFERROR(INDEX('👥 Estudiantes'!$I$3:$I$200,MATCH($C124,'👥 Estudiantes'!$C$3:$C$200,0)),"")</f>
      </c>
      <c r="O124" s="10">
        <f>IFERROR(INDEX('👥 Estudiantes'!$J$3:$J$200,MATCH($C124,'👥 Estudiantes'!$C$3:$C$200,0)),"")</f>
      </c>
      <c r="P124" s="9" t="s">
        <v>917</v>
      </c>
    </row>
    <row r="125" spans="1:16" x14ac:dyDescent="0.25">
      <c r="A125">
        <f>IF($C125="","",ROW()-2)</f>
      </c>
      <c r="B125" s="8">
        <f>IFERROR(INDEX('👥 Estudiantes'!$B$3:$B$200,MATCH($C125,'👥 Estudiantes'!$C$3:$C$200,0)),"")</f>
      </c>
      <c r="C125" s="9" t="s">
        <v>529</v>
      </c>
      <c r="D125" s="10">
        <f>IFERROR(INDEX('👥 Estudiantes'!$D$3:$D$200,MATCH($C125,'👥 Estudiantes'!$C$3:$C$200,0)),"")</f>
      </c>
      <c r="E125" s="10">
        <f>IFERROR(INDEX('👥 Estudiantes'!$E$3:$E$200,MATCH($C125,'👥 Estudiantes'!$C$3:$C$200,0)),"")</f>
      </c>
      <c r="F125" s="9" t="s">
        <v>735</v>
      </c>
      <c r="G125" s="10">
        <f>IFERROR(INDEX('🏢 Empresas'!$C$3:$C$200,MATCH($F125,'🏢 Empresas'!$B$3:$B$200,0)),"")</f>
      </c>
      <c r="H125" s="10">
        <f>IFERROR(INDEX('🏢 Empresas'!$D$3:$D$200,MATCH($F125,'🏢 Empresas'!$B$3:$B$200,0)),"")</f>
      </c>
      <c r="I125" s="10">
        <f>IFERROR(INDEX('🏢 Empresas'!$E$3:$E$200,MATCH($F125,'🏢 Empresas'!$B$3:$B$200,0)),"")</f>
      </c>
      <c r="J125" s="10">
        <f>IFERROR(INDEX('🏢 Empresas'!$F$3:$F$200,MATCH($F125,'🏢 Empresas'!$B$3:$B$200,0)),"")</f>
      </c>
      <c r="K125" s="9" t="s">
        <v>898</v>
      </c>
      <c r="L125" s="10">
        <f>IFERROR(INDEX('👥 Estudiantes'!$G$3:$G$200,MATCH($C125,'👥 Estudiantes'!$C$3:$C$200,0)),"")</f>
      </c>
      <c r="M125" s="10">
        <f>IFERROR(INDEX('👥 Estudiantes'!$H$3:$H$200,MATCH($C125,'👥 Estudiantes'!$C$3:$C$200,0)),"")</f>
      </c>
      <c r="N125" s="10">
        <f>IFERROR(INDEX('👥 Estudiantes'!$I$3:$I$200,MATCH($C125,'👥 Estudiantes'!$C$3:$C$200,0)),"")</f>
      </c>
      <c r="O125" s="10">
        <f>IFERROR(INDEX('👥 Estudiantes'!$J$3:$J$200,MATCH($C125,'👥 Estudiantes'!$C$3:$C$200,0)),"")</f>
      </c>
      <c r="P125" s="9" t="s">
        <v>921</v>
      </c>
    </row>
    <row r="126" spans="1:16" x14ac:dyDescent="0.25">
      <c r="A126">
        <f>IF($C126="","",ROW()-2)</f>
      </c>
      <c r="B126" s="8">
        <f>IFERROR(INDEX('👥 Estudiantes'!$B$3:$B$200,MATCH($C126,'👥 Estudiantes'!$C$3:$C$200,0)),"")</f>
      </c>
      <c r="C126" s="9" t="s">
        <v>533</v>
      </c>
      <c r="D126" s="10">
        <f>IFERROR(INDEX('👥 Estudiantes'!$D$3:$D$200,MATCH($C126,'👥 Estudiantes'!$C$3:$C$200,0)),"")</f>
      </c>
      <c r="E126" s="10">
        <f>IFERROR(INDEX('👥 Estudiantes'!$E$3:$E$200,MATCH($C126,'👥 Estudiantes'!$C$3:$C$200,0)),"")</f>
      </c>
      <c r="F126" s="9" t="s">
        <v>801</v>
      </c>
      <c r="G126" s="10">
        <f>IFERROR(INDEX('🏢 Empresas'!$C$3:$C$200,MATCH($F126,'🏢 Empresas'!$B$3:$B$200,0)),"")</f>
      </c>
      <c r="H126" s="10">
        <f>IFERROR(INDEX('🏢 Empresas'!$D$3:$D$200,MATCH($F126,'🏢 Empresas'!$B$3:$B$200,0)),"")</f>
      </c>
      <c r="I126" s="10">
        <f>IFERROR(INDEX('🏢 Empresas'!$E$3:$E$200,MATCH($F126,'🏢 Empresas'!$B$3:$B$200,0)),"")</f>
      </c>
      <c r="J126" s="10">
        <f>IFERROR(INDEX('🏢 Empresas'!$F$3:$F$200,MATCH($F126,'🏢 Empresas'!$B$3:$B$200,0)),"")</f>
      </c>
      <c r="K126" s="9" t="s">
        <v>901</v>
      </c>
      <c r="L126" s="10">
        <f>IFERROR(INDEX('👥 Estudiantes'!$G$3:$G$200,MATCH($C126,'👥 Estudiantes'!$C$3:$C$200,0)),"")</f>
      </c>
      <c r="M126" s="10">
        <f>IFERROR(INDEX('👥 Estudiantes'!$H$3:$H$200,MATCH($C126,'👥 Estudiantes'!$C$3:$C$200,0)),"")</f>
      </c>
      <c r="N126" s="10">
        <f>IFERROR(INDEX('👥 Estudiantes'!$I$3:$I$200,MATCH($C126,'👥 Estudiantes'!$C$3:$C$200,0)),"")</f>
      </c>
      <c r="O126" s="10">
        <f>IFERROR(INDEX('👥 Estudiantes'!$J$3:$J$200,MATCH($C126,'👥 Estudiantes'!$C$3:$C$200,0)),"")</f>
      </c>
      <c r="P126" s="9" t="s">
        <v>920</v>
      </c>
    </row>
    <row r="127" spans="1:16" x14ac:dyDescent="0.25">
      <c r="A127">
        <f>IF($C127="","",ROW()-2)</f>
      </c>
      <c r="B127" s="8">
        <f>IFERROR(INDEX('👥 Estudiantes'!$B$3:$B$200,MATCH($C127,'👥 Estudiantes'!$C$3:$C$200,0)),"")</f>
      </c>
      <c r="C127" s="9" t="s">
        <v>537</v>
      </c>
      <c r="D127" s="10">
        <f>IFERROR(INDEX('👥 Estudiantes'!$D$3:$D$200,MATCH($C127,'👥 Estudiantes'!$C$3:$C$200,0)),"")</f>
      </c>
      <c r="E127" s="10">
        <f>IFERROR(INDEX('👥 Estudiantes'!$E$3:$E$200,MATCH($C127,'👥 Estudiantes'!$C$3:$C$200,0)),"")</f>
      </c>
      <c r="F127" s="9" t="s">
        <v>723</v>
      </c>
      <c r="G127" s="10">
        <f>IFERROR(INDEX('🏢 Empresas'!$C$3:$C$200,MATCH($F127,'🏢 Empresas'!$B$3:$B$200,0)),"")</f>
      </c>
      <c r="H127" s="10">
        <f>IFERROR(INDEX('🏢 Empresas'!$D$3:$D$200,MATCH($F127,'🏢 Empresas'!$B$3:$B$200,0)),"")</f>
      </c>
      <c r="I127" s="10">
        <f>IFERROR(INDEX('🏢 Empresas'!$E$3:$E$200,MATCH($F127,'🏢 Empresas'!$B$3:$B$200,0)),"")</f>
      </c>
      <c r="J127" s="10">
        <f>IFERROR(INDEX('🏢 Empresas'!$F$3:$F$200,MATCH($F127,'🏢 Empresas'!$B$3:$B$200,0)),"")</f>
      </c>
      <c r="K127" s="9" t="s">
        <v>906</v>
      </c>
      <c r="L127" s="10">
        <f>IFERROR(INDEX('👥 Estudiantes'!$G$3:$G$200,MATCH($C127,'👥 Estudiantes'!$C$3:$C$200,0)),"")</f>
      </c>
      <c r="M127" s="10">
        <f>IFERROR(INDEX('👥 Estudiantes'!$H$3:$H$200,MATCH($C127,'👥 Estudiantes'!$C$3:$C$200,0)),"")</f>
      </c>
      <c r="N127" s="10">
        <f>IFERROR(INDEX('👥 Estudiantes'!$I$3:$I$200,MATCH($C127,'👥 Estudiantes'!$C$3:$C$200,0)),"")</f>
      </c>
      <c r="O127" s="10">
        <f>IFERROR(INDEX('👥 Estudiantes'!$J$3:$J$200,MATCH($C127,'👥 Estudiantes'!$C$3:$C$200,0)),"")</f>
      </c>
      <c r="P127" s="9" t="s">
        <v>918</v>
      </c>
    </row>
    <row r="128" spans="1:16" x14ac:dyDescent="0.25">
      <c r="A128">
        <f>IF($C128="","",ROW()-2)</f>
      </c>
      <c r="B128" s="8">
        <f>IFERROR(INDEX('👥 Estudiantes'!$B$3:$B$200,MATCH($C128,'👥 Estudiantes'!$C$3:$C$200,0)),"")</f>
      </c>
      <c r="C128" s="9" t="s">
        <v>541</v>
      </c>
      <c r="D128" s="10">
        <f>IFERROR(INDEX('👥 Estudiantes'!$D$3:$D$200,MATCH($C128,'👥 Estudiantes'!$C$3:$C$200,0)),"")</f>
      </c>
      <c r="E128" s="10">
        <f>IFERROR(INDEX('👥 Estudiantes'!$E$3:$E$200,MATCH($C128,'👥 Estudiantes'!$C$3:$C$200,0)),"")</f>
      </c>
      <c r="F128" s="9" t="s">
        <v>618</v>
      </c>
      <c r="G128" s="10">
        <f>IFERROR(INDEX('🏢 Empresas'!$C$3:$C$200,MATCH($F128,'🏢 Empresas'!$B$3:$B$200,0)),"")</f>
      </c>
      <c r="H128" s="10">
        <f>IFERROR(INDEX('🏢 Empresas'!$D$3:$D$200,MATCH($F128,'🏢 Empresas'!$B$3:$B$200,0)),"")</f>
      </c>
      <c r="I128" s="10">
        <f>IFERROR(INDEX('🏢 Empresas'!$E$3:$E$200,MATCH($F128,'🏢 Empresas'!$B$3:$B$200,0)),"")</f>
      </c>
      <c r="J128" s="10">
        <f>IFERROR(INDEX('🏢 Empresas'!$F$3:$F$200,MATCH($F128,'🏢 Empresas'!$B$3:$B$200,0)),"")</f>
      </c>
      <c r="K128" s="9" t="s">
        <v>907</v>
      </c>
      <c r="L128" s="10">
        <f>IFERROR(INDEX('👥 Estudiantes'!$G$3:$G$200,MATCH($C128,'👥 Estudiantes'!$C$3:$C$200,0)),"")</f>
      </c>
      <c r="M128" s="10">
        <f>IFERROR(INDEX('👥 Estudiantes'!$H$3:$H$200,MATCH($C128,'👥 Estudiantes'!$C$3:$C$200,0)),"")</f>
      </c>
      <c r="N128" s="10">
        <f>IFERROR(INDEX('👥 Estudiantes'!$I$3:$I$200,MATCH($C128,'👥 Estudiantes'!$C$3:$C$200,0)),"")</f>
      </c>
      <c r="O128" s="10">
        <f>IFERROR(INDEX('👥 Estudiantes'!$J$3:$J$200,MATCH($C128,'👥 Estudiantes'!$C$3:$C$200,0)),"")</f>
      </c>
      <c r="P128" s="9" t="s">
        <v>917</v>
      </c>
    </row>
    <row r="129" spans="1:16" x14ac:dyDescent="0.25">
      <c r="A129">
        <f>IF($C129="","",ROW()-2)</f>
      </c>
      <c r="B129" s="8">
        <f>IFERROR(INDEX('👥 Estudiantes'!$B$3:$B$200,MATCH($C129,'👥 Estudiantes'!$C$3:$C$200,0)),"")</f>
      </c>
      <c r="C129" s="9" t="s">
        <v>545</v>
      </c>
      <c r="D129" s="10">
        <f>IFERROR(INDEX('👥 Estudiantes'!$D$3:$D$200,MATCH($C129,'👥 Estudiantes'!$C$3:$C$200,0)),"")</f>
      </c>
      <c r="E129" s="10">
        <f>IFERROR(INDEX('👥 Estudiantes'!$E$3:$E$200,MATCH($C129,'👥 Estudiantes'!$C$3:$C$200,0)),"")</f>
      </c>
      <c r="F129" s="9" t="s">
        <v>841</v>
      </c>
      <c r="G129" s="10">
        <f>IFERROR(INDEX('🏢 Empresas'!$C$3:$C$200,MATCH($F129,'🏢 Empresas'!$B$3:$B$200,0)),"")</f>
      </c>
      <c r="H129" s="10">
        <f>IFERROR(INDEX('🏢 Empresas'!$D$3:$D$200,MATCH($F129,'🏢 Empresas'!$B$3:$B$200,0)),"")</f>
      </c>
      <c r="I129" s="10">
        <f>IFERROR(INDEX('🏢 Empresas'!$E$3:$E$200,MATCH($F129,'🏢 Empresas'!$B$3:$B$200,0)),"")</f>
      </c>
      <c r="J129" s="10">
        <f>IFERROR(INDEX('🏢 Empresas'!$F$3:$F$200,MATCH($F129,'🏢 Empresas'!$B$3:$B$200,0)),"")</f>
      </c>
      <c r="K129" s="9" t="s">
        <v>905</v>
      </c>
      <c r="L129" s="10">
        <f>IFERROR(INDEX('👥 Estudiantes'!$G$3:$G$200,MATCH($C129,'👥 Estudiantes'!$C$3:$C$200,0)),"")</f>
      </c>
      <c r="M129" s="10">
        <f>IFERROR(INDEX('👥 Estudiantes'!$H$3:$H$200,MATCH($C129,'👥 Estudiantes'!$C$3:$C$200,0)),"")</f>
      </c>
      <c r="N129" s="10">
        <f>IFERROR(INDEX('👥 Estudiantes'!$I$3:$I$200,MATCH($C129,'👥 Estudiantes'!$C$3:$C$200,0)),"")</f>
      </c>
      <c r="O129" s="10">
        <f>IFERROR(INDEX('👥 Estudiantes'!$J$3:$J$200,MATCH($C129,'👥 Estudiantes'!$C$3:$C$200,0)),"")</f>
      </c>
      <c r="P129" s="9" t="s">
        <v>918</v>
      </c>
    </row>
    <row r="130" spans="1:16" x14ac:dyDescent="0.25">
      <c r="A130">
        <f>IF($C130="","",ROW()-2)</f>
      </c>
      <c r="B130" s="8">
        <f>IFERROR(INDEX('👥 Estudiantes'!$B$3:$B$200,MATCH($C130,'👥 Estudiantes'!$C$3:$C$200,0)),"")</f>
      </c>
      <c r="C130" s="9" t="s">
        <v>549</v>
      </c>
      <c r="D130" s="10">
        <f>IFERROR(INDEX('👥 Estudiantes'!$D$3:$D$200,MATCH($C130,'👥 Estudiantes'!$C$3:$C$200,0)),"")</f>
      </c>
      <c r="E130" s="10">
        <f>IFERROR(INDEX('👥 Estudiantes'!$E$3:$E$200,MATCH($C130,'👥 Estudiantes'!$C$3:$C$200,0)),"")</f>
      </c>
      <c r="F130" s="9" t="s">
        <v>777</v>
      </c>
      <c r="G130" s="10">
        <f>IFERROR(INDEX('🏢 Empresas'!$C$3:$C$200,MATCH($F130,'🏢 Empresas'!$B$3:$B$200,0)),"")</f>
      </c>
      <c r="H130" s="10">
        <f>IFERROR(INDEX('🏢 Empresas'!$D$3:$D$200,MATCH($F130,'🏢 Empresas'!$B$3:$B$200,0)),"")</f>
      </c>
      <c r="I130" s="10">
        <f>IFERROR(INDEX('🏢 Empresas'!$E$3:$E$200,MATCH($F130,'🏢 Empresas'!$B$3:$B$200,0)),"")</f>
      </c>
      <c r="J130" s="10">
        <f>IFERROR(INDEX('🏢 Empresas'!$F$3:$F$200,MATCH($F130,'🏢 Empresas'!$B$3:$B$200,0)),"")</f>
      </c>
      <c r="K130" s="9" t="s">
        <v>907</v>
      </c>
      <c r="L130" s="10">
        <f>IFERROR(INDEX('👥 Estudiantes'!$G$3:$G$200,MATCH($C130,'👥 Estudiantes'!$C$3:$C$200,0)),"")</f>
      </c>
      <c r="M130" s="10">
        <f>IFERROR(INDEX('👥 Estudiantes'!$H$3:$H$200,MATCH($C130,'👥 Estudiantes'!$C$3:$C$200,0)),"")</f>
      </c>
      <c r="N130" s="10">
        <f>IFERROR(INDEX('👥 Estudiantes'!$I$3:$I$200,MATCH($C130,'👥 Estudiantes'!$C$3:$C$200,0)),"")</f>
      </c>
      <c r="O130" s="10">
        <f>IFERROR(INDEX('👥 Estudiantes'!$J$3:$J$200,MATCH($C130,'👥 Estudiantes'!$C$3:$C$200,0)),"")</f>
      </c>
      <c r="P130" s="9" t="s">
        <v>923</v>
      </c>
    </row>
    <row r="131" spans="1:16" x14ac:dyDescent="0.25">
      <c r="A131">
        <f>IF($C131="","",ROW()-2)</f>
      </c>
      <c r="B131" s="8">
        <f>IFERROR(INDEX('👥 Estudiantes'!$B$3:$B$200,MATCH($C131,'👥 Estudiantes'!$C$3:$C$200,0)),"")</f>
      </c>
      <c r="C131" s="9" t="s">
        <v>553</v>
      </c>
      <c r="D131" s="10">
        <f>IFERROR(INDEX('👥 Estudiantes'!$D$3:$D$200,MATCH($C131,'👥 Estudiantes'!$C$3:$C$200,0)),"")</f>
      </c>
      <c r="E131" s="10">
        <f>IFERROR(INDEX('👥 Estudiantes'!$E$3:$E$200,MATCH($C131,'👥 Estudiantes'!$C$3:$C$200,0)),"")</f>
      </c>
      <c r="F131" s="9" t="s">
        <v>753</v>
      </c>
      <c r="G131" s="10">
        <f>IFERROR(INDEX('🏢 Empresas'!$C$3:$C$200,MATCH($F131,'🏢 Empresas'!$B$3:$B$200,0)),"")</f>
      </c>
      <c r="H131" s="10">
        <f>IFERROR(INDEX('🏢 Empresas'!$D$3:$D$200,MATCH($F131,'🏢 Empresas'!$B$3:$B$200,0)),"")</f>
      </c>
      <c r="I131" s="10">
        <f>IFERROR(INDEX('🏢 Empresas'!$E$3:$E$200,MATCH($F131,'🏢 Empresas'!$B$3:$B$200,0)),"")</f>
      </c>
      <c r="J131" s="10">
        <f>IFERROR(INDEX('🏢 Empresas'!$F$3:$F$200,MATCH($F131,'🏢 Empresas'!$B$3:$B$200,0)),"")</f>
      </c>
      <c r="K131" s="9" t="s">
        <v>902</v>
      </c>
      <c r="L131" s="10">
        <f>IFERROR(INDEX('👥 Estudiantes'!$G$3:$G$200,MATCH($C131,'👥 Estudiantes'!$C$3:$C$200,0)),"")</f>
      </c>
      <c r="M131" s="10">
        <f>IFERROR(INDEX('👥 Estudiantes'!$H$3:$H$200,MATCH($C131,'👥 Estudiantes'!$C$3:$C$200,0)),"")</f>
      </c>
      <c r="N131" s="10">
        <f>IFERROR(INDEX('👥 Estudiantes'!$I$3:$I$200,MATCH($C131,'👥 Estudiantes'!$C$3:$C$200,0)),"")</f>
      </c>
      <c r="O131" s="10">
        <f>IFERROR(INDEX('👥 Estudiantes'!$J$3:$J$200,MATCH($C131,'👥 Estudiantes'!$C$3:$C$200,0)),"")</f>
      </c>
      <c r="P131" s="9" t="s">
        <v>919</v>
      </c>
    </row>
    <row r="132" spans="1:16" x14ac:dyDescent="0.25">
      <c r="A132">
        <f>IF($C132="","",ROW()-2)</f>
      </c>
      <c r="B132" s="8">
        <f>IFERROR(INDEX('👥 Estudiantes'!$B$3:$B$200,MATCH($C132,'👥 Estudiantes'!$C$3:$C$200,0)),"")</f>
      </c>
      <c r="C132" s="9" t="s">
        <v>557</v>
      </c>
      <c r="D132" s="10">
        <f>IFERROR(INDEX('👥 Estudiantes'!$D$3:$D$200,MATCH($C132,'👥 Estudiantes'!$C$3:$C$200,0)),"")</f>
      </c>
      <c r="E132" s="10">
        <f>IFERROR(INDEX('👥 Estudiantes'!$E$3:$E$200,MATCH($C132,'👥 Estudiantes'!$C$3:$C$200,0)),"")</f>
      </c>
      <c r="F132" s="9" t="s">
        <v>833</v>
      </c>
      <c r="G132" s="10">
        <f>IFERROR(INDEX('🏢 Empresas'!$C$3:$C$200,MATCH($F132,'🏢 Empresas'!$B$3:$B$200,0)),"")</f>
      </c>
      <c r="H132" s="10">
        <f>IFERROR(INDEX('🏢 Empresas'!$D$3:$D$200,MATCH($F132,'🏢 Empresas'!$B$3:$B$200,0)),"")</f>
      </c>
      <c r="I132" s="10">
        <f>IFERROR(INDEX('🏢 Empresas'!$E$3:$E$200,MATCH($F132,'🏢 Empresas'!$B$3:$B$200,0)),"")</f>
      </c>
      <c r="J132" s="10">
        <f>IFERROR(INDEX('🏢 Empresas'!$F$3:$F$200,MATCH($F132,'🏢 Empresas'!$B$3:$B$200,0)),"")</f>
      </c>
      <c r="K132" s="9" t="s">
        <v>901</v>
      </c>
      <c r="L132" s="10">
        <f>IFERROR(INDEX('👥 Estudiantes'!$G$3:$G$200,MATCH($C132,'👥 Estudiantes'!$C$3:$C$200,0)),"")</f>
      </c>
      <c r="M132" s="10">
        <f>IFERROR(INDEX('👥 Estudiantes'!$H$3:$H$200,MATCH($C132,'👥 Estudiantes'!$C$3:$C$200,0)),"")</f>
      </c>
      <c r="N132" s="10">
        <f>IFERROR(INDEX('👥 Estudiantes'!$I$3:$I$200,MATCH($C132,'👥 Estudiantes'!$C$3:$C$200,0)),"")</f>
      </c>
      <c r="O132" s="10">
        <f>IFERROR(INDEX('👥 Estudiantes'!$J$3:$J$200,MATCH($C132,'👥 Estudiantes'!$C$3:$C$200,0)),"")</f>
      </c>
      <c r="P132" s="9" t="s">
        <v>916</v>
      </c>
    </row>
    <row r="133" spans="1:16" x14ac:dyDescent="0.25">
      <c r="A133">
        <f>IF($C133="","",ROW()-2)</f>
      </c>
      <c r="B133" s="8">
        <f>IFERROR(INDEX('👥 Estudiantes'!$B$3:$B$200,MATCH($C133,'👥 Estudiantes'!$C$3:$C$200,0)),"")</f>
      </c>
      <c r="C133" s="9" t="s">
        <v>561</v>
      </c>
      <c r="D133" s="10">
        <f>IFERROR(INDEX('👥 Estudiantes'!$D$3:$D$200,MATCH($C133,'👥 Estudiantes'!$C$3:$C$200,0)),"")</f>
      </c>
      <c r="E133" s="10">
        <f>IFERROR(INDEX('👥 Estudiantes'!$E$3:$E$200,MATCH($C133,'👥 Estudiantes'!$C$3:$C$200,0)),"")</f>
      </c>
      <c r="F133" s="9" t="s">
        <v>700</v>
      </c>
      <c r="G133" s="10">
        <f>IFERROR(INDEX('🏢 Empresas'!$C$3:$C$200,MATCH($F133,'🏢 Empresas'!$B$3:$B$200,0)),"")</f>
      </c>
      <c r="H133" s="10">
        <f>IFERROR(INDEX('🏢 Empresas'!$D$3:$D$200,MATCH($F133,'🏢 Empresas'!$B$3:$B$200,0)),"")</f>
      </c>
      <c r="I133" s="10">
        <f>IFERROR(INDEX('🏢 Empresas'!$E$3:$E$200,MATCH($F133,'🏢 Empresas'!$B$3:$B$200,0)),"")</f>
      </c>
      <c r="J133" s="10">
        <f>IFERROR(INDEX('🏢 Empresas'!$F$3:$F$200,MATCH($F133,'🏢 Empresas'!$B$3:$B$200,0)),"")</f>
      </c>
      <c r="K133" s="9" t="s">
        <v>908</v>
      </c>
      <c r="L133" s="10">
        <f>IFERROR(INDEX('👥 Estudiantes'!$G$3:$G$200,MATCH($C133,'👥 Estudiantes'!$C$3:$C$200,0)),"")</f>
      </c>
      <c r="M133" s="10">
        <f>IFERROR(INDEX('👥 Estudiantes'!$H$3:$H$200,MATCH($C133,'👥 Estudiantes'!$C$3:$C$200,0)),"")</f>
      </c>
      <c r="N133" s="10">
        <f>IFERROR(INDEX('👥 Estudiantes'!$I$3:$I$200,MATCH($C133,'👥 Estudiantes'!$C$3:$C$200,0)),"")</f>
      </c>
      <c r="O133" s="10">
        <f>IFERROR(INDEX('👥 Estudiantes'!$J$3:$J$200,MATCH($C133,'👥 Estudiantes'!$C$3:$C$200,0)),"")</f>
      </c>
      <c r="P133" s="9" t="s">
        <v>916</v>
      </c>
    </row>
    <row r="134" spans="1:16" x14ac:dyDescent="0.25">
      <c r="A134">
        <f>IF($C134="","",ROW()-2)</f>
      </c>
      <c r="B134" s="8">
        <f>IFERROR(INDEX('👥 Estudiantes'!$B$3:$B$200,MATCH($C134,'👥 Estudiantes'!$C$3:$C$200,0)),"")</f>
      </c>
      <c r="C134" s="9" t="s">
        <v>565</v>
      </c>
      <c r="D134" s="10">
        <f>IFERROR(INDEX('👥 Estudiantes'!$D$3:$D$200,MATCH($C134,'👥 Estudiantes'!$C$3:$C$200,0)),"")</f>
      </c>
      <c r="E134" s="10">
        <f>IFERROR(INDEX('👥 Estudiantes'!$E$3:$E$200,MATCH($C134,'👥 Estudiantes'!$C$3:$C$200,0)),"")</f>
      </c>
      <c r="F134" s="9" t="s">
        <v>658</v>
      </c>
      <c r="G134" s="10">
        <f>IFERROR(INDEX('🏢 Empresas'!$C$3:$C$200,MATCH($F134,'🏢 Empresas'!$B$3:$B$200,0)),"")</f>
      </c>
      <c r="H134" s="10">
        <f>IFERROR(INDEX('🏢 Empresas'!$D$3:$D$200,MATCH($F134,'🏢 Empresas'!$B$3:$B$200,0)),"")</f>
      </c>
      <c r="I134" s="10">
        <f>IFERROR(INDEX('🏢 Empresas'!$E$3:$E$200,MATCH($F134,'🏢 Empresas'!$B$3:$B$200,0)),"")</f>
      </c>
      <c r="J134" s="10">
        <f>IFERROR(INDEX('🏢 Empresas'!$F$3:$F$200,MATCH($F134,'🏢 Empresas'!$B$3:$B$200,0)),"")</f>
      </c>
      <c r="K134" s="9" t="s">
        <v>899</v>
      </c>
      <c r="L134" s="10">
        <f>IFERROR(INDEX('👥 Estudiantes'!$G$3:$G$200,MATCH($C134,'👥 Estudiantes'!$C$3:$C$200,0)),"")</f>
      </c>
      <c r="M134" s="10">
        <f>IFERROR(INDEX('👥 Estudiantes'!$H$3:$H$200,MATCH($C134,'👥 Estudiantes'!$C$3:$C$200,0)),"")</f>
      </c>
      <c r="N134" s="10">
        <f>IFERROR(INDEX('👥 Estudiantes'!$I$3:$I$200,MATCH($C134,'👥 Estudiantes'!$C$3:$C$200,0)),"")</f>
      </c>
      <c r="O134" s="10">
        <f>IFERROR(INDEX('👥 Estudiantes'!$J$3:$J$200,MATCH($C134,'👥 Estudiantes'!$C$3:$C$200,0)),"")</f>
      </c>
      <c r="P134" s="9" t="s">
        <v>916</v>
      </c>
    </row>
    <row r="135" spans="1:16" x14ac:dyDescent="0.25">
      <c r="A135">
        <f>IF($C135="","",ROW()-2)</f>
      </c>
      <c r="B135" s="8">
        <f>IFERROR(INDEX('👥 Estudiantes'!$B$3:$B$200,MATCH($C135,'👥 Estudiantes'!$C$3:$C$200,0)),"")</f>
      </c>
      <c r="C135" s="9" t="s">
        <v>569</v>
      </c>
      <c r="D135" s="10">
        <f>IFERROR(INDEX('👥 Estudiantes'!$D$3:$D$200,MATCH($C135,'👥 Estudiantes'!$C$3:$C$200,0)),"")</f>
      </c>
      <c r="E135" s="10">
        <f>IFERROR(INDEX('👥 Estudiantes'!$E$3:$E$200,MATCH($C135,'👥 Estudiantes'!$C$3:$C$200,0)),"")</f>
      </c>
      <c r="F135" s="9" t="s">
        <v>777</v>
      </c>
      <c r="G135" s="10">
        <f>IFERROR(INDEX('🏢 Empresas'!$C$3:$C$200,MATCH($F135,'🏢 Empresas'!$B$3:$B$200,0)),"")</f>
      </c>
      <c r="H135" s="10">
        <f>IFERROR(INDEX('🏢 Empresas'!$D$3:$D$200,MATCH($F135,'🏢 Empresas'!$B$3:$B$200,0)),"")</f>
      </c>
      <c r="I135" s="10">
        <f>IFERROR(INDEX('🏢 Empresas'!$E$3:$E$200,MATCH($F135,'🏢 Empresas'!$B$3:$B$200,0)),"")</f>
      </c>
      <c r="J135" s="10">
        <f>IFERROR(INDEX('🏢 Empresas'!$F$3:$F$200,MATCH($F135,'🏢 Empresas'!$B$3:$B$200,0)),"")</f>
      </c>
      <c r="K135" s="9" t="s">
        <v>903</v>
      </c>
      <c r="L135" s="10">
        <f>IFERROR(INDEX('👥 Estudiantes'!$G$3:$G$200,MATCH($C135,'👥 Estudiantes'!$C$3:$C$200,0)),"")</f>
      </c>
      <c r="M135" s="10">
        <f>IFERROR(INDEX('👥 Estudiantes'!$H$3:$H$200,MATCH($C135,'👥 Estudiantes'!$C$3:$C$200,0)),"")</f>
      </c>
      <c r="N135" s="10">
        <f>IFERROR(INDEX('👥 Estudiantes'!$I$3:$I$200,MATCH($C135,'👥 Estudiantes'!$C$3:$C$200,0)),"")</f>
      </c>
      <c r="O135" s="10">
        <f>IFERROR(INDEX('👥 Estudiantes'!$J$3:$J$200,MATCH($C135,'👥 Estudiantes'!$C$3:$C$200,0)),"")</f>
      </c>
      <c r="P135" s="9" t="s">
        <v>920</v>
      </c>
    </row>
    <row r="136" spans="1:16" x14ac:dyDescent="0.25">
      <c r="A136">
        <f>IF($C136="","",ROW()-2)</f>
      </c>
      <c r="B136" s="8">
        <f>IFERROR(INDEX('👥 Estudiantes'!$B$3:$B$200,MATCH($C136,'👥 Estudiantes'!$C$3:$C$200,0)),"")</f>
      </c>
      <c r="C136" s="9" t="s">
        <v>573</v>
      </c>
      <c r="D136" s="10">
        <f>IFERROR(INDEX('👥 Estudiantes'!$D$3:$D$200,MATCH($C136,'👥 Estudiantes'!$C$3:$C$200,0)),"")</f>
      </c>
      <c r="E136" s="10">
        <f>IFERROR(INDEX('👥 Estudiantes'!$E$3:$E$200,MATCH($C136,'👥 Estudiantes'!$C$3:$C$200,0)),"")</f>
      </c>
      <c r="F136" s="9" t="s">
        <v>773</v>
      </c>
      <c r="G136" s="10">
        <f>IFERROR(INDEX('🏢 Empresas'!$C$3:$C$200,MATCH($F136,'🏢 Empresas'!$B$3:$B$200,0)),"")</f>
      </c>
      <c r="H136" s="10">
        <f>IFERROR(INDEX('🏢 Empresas'!$D$3:$D$200,MATCH($F136,'🏢 Empresas'!$B$3:$B$200,0)),"")</f>
      </c>
      <c r="I136" s="10">
        <f>IFERROR(INDEX('🏢 Empresas'!$E$3:$E$200,MATCH($F136,'🏢 Empresas'!$B$3:$B$200,0)),"")</f>
      </c>
      <c r="J136" s="10">
        <f>IFERROR(INDEX('🏢 Empresas'!$F$3:$F$200,MATCH($F136,'🏢 Empresas'!$B$3:$B$200,0)),"")</f>
      </c>
      <c r="K136" s="9" t="s">
        <v>899</v>
      </c>
      <c r="L136" s="10">
        <f>IFERROR(INDEX('👥 Estudiantes'!$G$3:$G$200,MATCH($C136,'👥 Estudiantes'!$C$3:$C$200,0)),"")</f>
      </c>
      <c r="M136" s="10">
        <f>IFERROR(INDEX('👥 Estudiantes'!$H$3:$H$200,MATCH($C136,'👥 Estudiantes'!$C$3:$C$200,0)),"")</f>
      </c>
      <c r="N136" s="10">
        <f>IFERROR(INDEX('👥 Estudiantes'!$I$3:$I$200,MATCH($C136,'👥 Estudiantes'!$C$3:$C$200,0)),"")</f>
      </c>
      <c r="O136" s="10">
        <f>IFERROR(INDEX('👥 Estudiantes'!$J$3:$J$200,MATCH($C136,'👥 Estudiantes'!$C$3:$C$200,0)),"")</f>
      </c>
      <c r="P136" s="9" t="s">
        <v>917</v>
      </c>
    </row>
    <row r="137" spans="1:16" x14ac:dyDescent="0.25">
      <c r="A137">
        <f>IF($C137="","",ROW()-2)</f>
      </c>
      <c r="B137" s="8">
        <f>IFERROR(INDEX('👥 Estudiantes'!$B$3:$B$200,MATCH($C137,'👥 Estudiantes'!$C$3:$C$200,0)),"")</f>
      </c>
      <c r="C137" s="9" t="s">
        <v>577</v>
      </c>
      <c r="D137" s="10">
        <f>IFERROR(INDEX('👥 Estudiantes'!$D$3:$D$200,MATCH($C137,'👥 Estudiantes'!$C$3:$C$200,0)),"")</f>
      </c>
      <c r="E137" s="10">
        <f>IFERROR(INDEX('👥 Estudiantes'!$E$3:$E$200,MATCH($C137,'👥 Estudiantes'!$C$3:$C$200,0)),"")</f>
      </c>
      <c r="F137" s="9" t="s">
        <v>813</v>
      </c>
      <c r="G137" s="10">
        <f>IFERROR(INDEX('🏢 Empresas'!$C$3:$C$200,MATCH($F137,'🏢 Empresas'!$B$3:$B$200,0)),"")</f>
      </c>
      <c r="H137" s="10">
        <f>IFERROR(INDEX('🏢 Empresas'!$D$3:$D$200,MATCH($F137,'🏢 Empresas'!$B$3:$B$200,0)),"")</f>
      </c>
      <c r="I137" s="10">
        <f>IFERROR(INDEX('🏢 Empresas'!$E$3:$E$200,MATCH($F137,'🏢 Empresas'!$B$3:$B$200,0)),"")</f>
      </c>
      <c r="J137" s="10">
        <f>IFERROR(INDEX('🏢 Empresas'!$F$3:$F$200,MATCH($F137,'🏢 Empresas'!$B$3:$B$200,0)),"")</f>
      </c>
      <c r="K137" s="9" t="s">
        <v>900</v>
      </c>
      <c r="L137" s="10">
        <f>IFERROR(INDEX('👥 Estudiantes'!$G$3:$G$200,MATCH($C137,'👥 Estudiantes'!$C$3:$C$200,0)),"")</f>
      </c>
      <c r="M137" s="10">
        <f>IFERROR(INDEX('👥 Estudiantes'!$H$3:$H$200,MATCH($C137,'👥 Estudiantes'!$C$3:$C$200,0)),"")</f>
      </c>
      <c r="N137" s="10">
        <f>IFERROR(INDEX('👥 Estudiantes'!$I$3:$I$200,MATCH($C137,'👥 Estudiantes'!$C$3:$C$200,0)),"")</f>
      </c>
      <c r="O137" s="10">
        <f>IFERROR(INDEX('👥 Estudiantes'!$J$3:$J$200,MATCH($C137,'👥 Estudiantes'!$C$3:$C$200,0)),"")</f>
      </c>
      <c r="P137" s="9" t="s">
        <v>919</v>
      </c>
    </row>
    <row r="138" spans="1:16" x14ac:dyDescent="0.25">
      <c r="A138">
        <f>IF($C138="","",ROW()-2)</f>
      </c>
      <c r="B138" s="8">
        <f>IFERROR(INDEX('👥 Estudiantes'!$B$3:$B$200,MATCH($C138,'👥 Estudiantes'!$C$3:$C$200,0)),"")</f>
      </c>
      <c r="C138" s="9" t="s">
        <v>581</v>
      </c>
      <c r="D138" s="10">
        <f>IFERROR(INDEX('👥 Estudiantes'!$D$3:$D$200,MATCH($C138,'👥 Estudiantes'!$C$3:$C$200,0)),"")</f>
      </c>
      <c r="E138" s="10">
        <f>IFERROR(INDEX('👥 Estudiantes'!$E$3:$E$200,MATCH($C138,'👥 Estudiantes'!$C$3:$C$200,0)),"")</f>
      </c>
      <c r="F138" s="9" t="s">
        <v>769</v>
      </c>
      <c r="G138" s="10">
        <f>IFERROR(INDEX('🏢 Empresas'!$C$3:$C$200,MATCH($F138,'🏢 Empresas'!$B$3:$B$200,0)),"")</f>
      </c>
      <c r="H138" s="10">
        <f>IFERROR(INDEX('🏢 Empresas'!$D$3:$D$200,MATCH($F138,'🏢 Empresas'!$B$3:$B$200,0)),"")</f>
      </c>
      <c r="I138" s="10">
        <f>IFERROR(INDEX('🏢 Empresas'!$E$3:$E$200,MATCH($F138,'🏢 Empresas'!$B$3:$B$200,0)),"")</f>
      </c>
      <c r="J138" s="10">
        <f>IFERROR(INDEX('🏢 Empresas'!$F$3:$F$200,MATCH($F138,'🏢 Empresas'!$B$3:$B$200,0)),"")</f>
      </c>
      <c r="K138" s="9" t="s">
        <v>904</v>
      </c>
      <c r="L138" s="10">
        <f>IFERROR(INDEX('👥 Estudiantes'!$G$3:$G$200,MATCH($C138,'👥 Estudiantes'!$C$3:$C$200,0)),"")</f>
      </c>
      <c r="M138" s="10">
        <f>IFERROR(INDEX('👥 Estudiantes'!$H$3:$H$200,MATCH($C138,'👥 Estudiantes'!$C$3:$C$200,0)),"")</f>
      </c>
      <c r="N138" s="10">
        <f>IFERROR(INDEX('👥 Estudiantes'!$I$3:$I$200,MATCH($C138,'👥 Estudiantes'!$C$3:$C$200,0)),"")</f>
      </c>
      <c r="O138" s="10">
        <f>IFERROR(INDEX('👥 Estudiantes'!$J$3:$J$200,MATCH($C138,'👥 Estudiantes'!$C$3:$C$200,0)),"")</f>
      </c>
      <c r="P138" s="9" t="s">
        <v>916</v>
      </c>
    </row>
    <row r="139" spans="1:16" x14ac:dyDescent="0.25">
      <c r="A139">
        <f>IF($C139="","",ROW()-2)</f>
      </c>
      <c r="B139" s="8">
        <f>IFERROR(INDEX('👥 Estudiantes'!$B$3:$B$200,MATCH($C139,'👥 Estudiantes'!$C$3:$C$200,0)),"")</f>
      </c>
      <c r="C139" s="9" t="s">
        <v>585</v>
      </c>
      <c r="D139" s="10">
        <f>IFERROR(INDEX('👥 Estudiantes'!$D$3:$D$200,MATCH($C139,'👥 Estudiantes'!$C$3:$C$200,0)),"")</f>
      </c>
      <c r="E139" s="10">
        <f>IFERROR(INDEX('👥 Estudiantes'!$E$3:$E$200,MATCH($C139,'👥 Estudiantes'!$C$3:$C$200,0)),"")</f>
      </c>
      <c r="F139" s="9" t="s">
        <v>830</v>
      </c>
      <c r="G139" s="10">
        <f>IFERROR(INDEX('🏢 Empresas'!$C$3:$C$200,MATCH($F139,'🏢 Empresas'!$B$3:$B$200,0)),"")</f>
      </c>
      <c r="H139" s="10">
        <f>IFERROR(INDEX('🏢 Empresas'!$D$3:$D$200,MATCH($F139,'🏢 Empresas'!$B$3:$B$200,0)),"")</f>
      </c>
      <c r="I139" s="10">
        <f>IFERROR(INDEX('🏢 Empresas'!$E$3:$E$200,MATCH($F139,'🏢 Empresas'!$B$3:$B$200,0)),"")</f>
      </c>
      <c r="J139" s="10">
        <f>IFERROR(INDEX('🏢 Empresas'!$F$3:$F$200,MATCH($F139,'🏢 Empresas'!$B$3:$B$200,0)),"")</f>
      </c>
      <c r="K139" s="9" t="s">
        <v>904</v>
      </c>
      <c r="L139" s="10">
        <f>IFERROR(INDEX('👥 Estudiantes'!$G$3:$G$200,MATCH($C139,'👥 Estudiantes'!$C$3:$C$200,0)),"")</f>
      </c>
      <c r="M139" s="10">
        <f>IFERROR(INDEX('👥 Estudiantes'!$H$3:$H$200,MATCH($C139,'👥 Estudiantes'!$C$3:$C$200,0)),"")</f>
      </c>
      <c r="N139" s="10">
        <f>IFERROR(INDEX('👥 Estudiantes'!$I$3:$I$200,MATCH($C139,'👥 Estudiantes'!$C$3:$C$200,0)),"")</f>
      </c>
      <c r="O139" s="10">
        <f>IFERROR(INDEX('👥 Estudiantes'!$J$3:$J$200,MATCH($C139,'👥 Estudiantes'!$C$3:$C$200,0)),"")</f>
      </c>
      <c r="P139" s="9" t="s">
        <v>920</v>
      </c>
    </row>
    <row r="140" spans="1:16" x14ac:dyDescent="0.25">
      <c r="A140">
        <f>IF($C140="","",ROW()-2)</f>
      </c>
      <c r="B140" s="8">
        <f>IFERROR(INDEX('👥 Estudiantes'!$B$3:$B$200,MATCH($C140,'👥 Estudiantes'!$C$3:$C$200,0)),"")</f>
      </c>
      <c r="C140" s="9"/>
      <c r="D140" s="10">
        <f>IFERROR(INDEX('👥 Estudiantes'!$D$3:$D$200,MATCH($C140,'👥 Estudiantes'!$C$3:$C$200,0)),"")</f>
      </c>
      <c r="E140" s="10">
        <f>IFERROR(INDEX('👥 Estudiantes'!$E$3:$E$200,MATCH($C140,'👥 Estudiantes'!$C$3:$C$200,0)),"")</f>
      </c>
      <c r="F140" s="9"/>
      <c r="G140" s="10">
        <f>IFERROR(INDEX('🏢 Empresas'!$C$3:$C$200,MATCH($F140,'🏢 Empresas'!$B$3:$B$200,0)),"")</f>
      </c>
      <c r="H140" s="10">
        <f>IFERROR(INDEX('🏢 Empresas'!$D$3:$D$200,MATCH($F140,'🏢 Empresas'!$B$3:$B$200,0)),"")</f>
      </c>
      <c r="I140" s="10">
        <f>IFERROR(INDEX('🏢 Empresas'!$E$3:$E$200,MATCH($F140,'🏢 Empresas'!$B$3:$B$200,0)),"")</f>
      </c>
      <c r="J140" s="10">
        <f>IFERROR(INDEX('🏢 Empresas'!$F$3:$F$200,MATCH($F140,'🏢 Empresas'!$B$3:$B$200,0)),"")</f>
      </c>
      <c r="K140" s="9"/>
      <c r="L140" s="10">
        <f>IFERROR(INDEX('👥 Estudiantes'!$G$3:$G$200,MATCH($C140,'👥 Estudiantes'!$C$3:$C$200,0)),"")</f>
      </c>
      <c r="M140" s="10">
        <f>IFERROR(INDEX('👥 Estudiantes'!$H$3:$H$200,MATCH($C140,'👥 Estudiantes'!$C$3:$C$200,0)),"")</f>
      </c>
      <c r="N140" s="10">
        <f>IFERROR(INDEX('👥 Estudiantes'!$I$3:$I$200,MATCH($C140,'👥 Estudiantes'!$C$3:$C$200,0)),"")</f>
      </c>
      <c r="O140" s="10">
        <f>IFERROR(INDEX('👥 Estudiantes'!$J$3:$J$200,MATCH($C140,'👥 Estudiantes'!$C$3:$C$200,0)),"")</f>
      </c>
      <c r="P140" s="9"/>
    </row>
    <row r="141" spans="1:16" x14ac:dyDescent="0.25">
      <c r="A141">
        <f>IF($C141="","",ROW()-2)</f>
      </c>
      <c r="B141" s="8">
        <f>IFERROR(INDEX('👥 Estudiantes'!$B$3:$B$200,MATCH($C141,'👥 Estudiantes'!$C$3:$C$200,0)),"")</f>
      </c>
      <c r="C141" s="9"/>
      <c r="D141" s="10">
        <f>IFERROR(INDEX('👥 Estudiantes'!$D$3:$D$200,MATCH($C141,'👥 Estudiantes'!$C$3:$C$200,0)),"")</f>
      </c>
      <c r="E141" s="10">
        <f>IFERROR(INDEX('👥 Estudiantes'!$E$3:$E$200,MATCH($C141,'👥 Estudiantes'!$C$3:$C$200,0)),"")</f>
      </c>
      <c r="F141" s="9"/>
      <c r="G141" s="10">
        <f>IFERROR(INDEX('🏢 Empresas'!$C$3:$C$200,MATCH($F141,'🏢 Empresas'!$B$3:$B$200,0)),"")</f>
      </c>
      <c r="H141" s="10">
        <f>IFERROR(INDEX('🏢 Empresas'!$D$3:$D$200,MATCH($F141,'🏢 Empresas'!$B$3:$B$200,0)),"")</f>
      </c>
      <c r="I141" s="10">
        <f>IFERROR(INDEX('🏢 Empresas'!$E$3:$E$200,MATCH($F141,'🏢 Empresas'!$B$3:$B$200,0)),"")</f>
      </c>
      <c r="J141" s="10">
        <f>IFERROR(INDEX('🏢 Empresas'!$F$3:$F$200,MATCH($F141,'🏢 Empresas'!$B$3:$B$200,0)),"")</f>
      </c>
      <c r="K141" s="9"/>
      <c r="L141" s="10">
        <f>IFERROR(INDEX('👥 Estudiantes'!$G$3:$G$200,MATCH($C141,'👥 Estudiantes'!$C$3:$C$200,0)),"")</f>
      </c>
      <c r="M141" s="10">
        <f>IFERROR(INDEX('👥 Estudiantes'!$H$3:$H$200,MATCH($C141,'👥 Estudiantes'!$C$3:$C$200,0)),"")</f>
      </c>
      <c r="N141" s="10">
        <f>IFERROR(INDEX('👥 Estudiantes'!$I$3:$I$200,MATCH($C141,'👥 Estudiantes'!$C$3:$C$200,0)),"")</f>
      </c>
      <c r="O141" s="10">
        <f>IFERROR(INDEX('👥 Estudiantes'!$J$3:$J$200,MATCH($C141,'👥 Estudiantes'!$C$3:$C$200,0)),"")</f>
      </c>
      <c r="P141" s="9"/>
    </row>
    <row r="142" spans="1:16" x14ac:dyDescent="0.25">
      <c r="A142">
        <f>IF($C142="","",ROW()-2)</f>
      </c>
      <c r="B142" s="8">
        <f>IFERROR(INDEX('👥 Estudiantes'!$B$3:$B$200,MATCH($C142,'👥 Estudiantes'!$C$3:$C$200,0)),"")</f>
      </c>
      <c r="C142" s="9"/>
      <c r="D142" s="10">
        <f>IFERROR(INDEX('👥 Estudiantes'!$D$3:$D$200,MATCH($C142,'👥 Estudiantes'!$C$3:$C$200,0)),"")</f>
      </c>
      <c r="E142" s="10">
        <f>IFERROR(INDEX('👥 Estudiantes'!$E$3:$E$200,MATCH($C142,'👥 Estudiantes'!$C$3:$C$200,0)),"")</f>
      </c>
      <c r="F142" s="9"/>
      <c r="G142" s="10">
        <f>IFERROR(INDEX('🏢 Empresas'!$C$3:$C$200,MATCH($F142,'🏢 Empresas'!$B$3:$B$200,0)),"")</f>
      </c>
      <c r="H142" s="10">
        <f>IFERROR(INDEX('🏢 Empresas'!$D$3:$D$200,MATCH($F142,'🏢 Empresas'!$B$3:$B$200,0)),"")</f>
      </c>
      <c r="I142" s="10">
        <f>IFERROR(INDEX('🏢 Empresas'!$E$3:$E$200,MATCH($F142,'🏢 Empresas'!$B$3:$B$200,0)),"")</f>
      </c>
      <c r="J142" s="10">
        <f>IFERROR(INDEX('🏢 Empresas'!$F$3:$F$200,MATCH($F142,'🏢 Empresas'!$B$3:$B$200,0)),"")</f>
      </c>
      <c r="K142" s="9"/>
      <c r="L142" s="10">
        <f>IFERROR(INDEX('👥 Estudiantes'!$G$3:$G$200,MATCH($C142,'👥 Estudiantes'!$C$3:$C$200,0)),"")</f>
      </c>
      <c r="M142" s="10">
        <f>IFERROR(INDEX('👥 Estudiantes'!$H$3:$H$200,MATCH($C142,'👥 Estudiantes'!$C$3:$C$200,0)),"")</f>
      </c>
      <c r="N142" s="10">
        <f>IFERROR(INDEX('👥 Estudiantes'!$I$3:$I$200,MATCH($C142,'👥 Estudiantes'!$C$3:$C$200,0)),"")</f>
      </c>
      <c r="O142" s="10">
        <f>IFERROR(INDEX('👥 Estudiantes'!$J$3:$J$200,MATCH($C142,'👥 Estudiantes'!$C$3:$C$200,0)),"")</f>
      </c>
      <c r="P142" s="9"/>
    </row>
    <row r="143" spans="1:16" x14ac:dyDescent="0.25">
      <c r="A143">
        <f>IF($C143="","",ROW()-2)</f>
      </c>
      <c r="B143" s="8">
        <f>IFERROR(INDEX('👥 Estudiantes'!$B$3:$B$200,MATCH($C143,'👥 Estudiantes'!$C$3:$C$200,0)),"")</f>
      </c>
      <c r="C143" s="9"/>
      <c r="D143" s="10">
        <f>IFERROR(INDEX('👥 Estudiantes'!$D$3:$D$200,MATCH($C143,'👥 Estudiantes'!$C$3:$C$200,0)),"")</f>
      </c>
      <c r="E143" s="10">
        <f>IFERROR(INDEX('👥 Estudiantes'!$E$3:$E$200,MATCH($C143,'👥 Estudiantes'!$C$3:$C$200,0)),"")</f>
      </c>
      <c r="F143" s="9"/>
      <c r="G143" s="10">
        <f>IFERROR(INDEX('🏢 Empresas'!$C$3:$C$200,MATCH($F143,'🏢 Empresas'!$B$3:$B$200,0)),"")</f>
      </c>
      <c r="H143" s="10">
        <f>IFERROR(INDEX('🏢 Empresas'!$D$3:$D$200,MATCH($F143,'🏢 Empresas'!$B$3:$B$200,0)),"")</f>
      </c>
      <c r="I143" s="10">
        <f>IFERROR(INDEX('🏢 Empresas'!$E$3:$E$200,MATCH($F143,'🏢 Empresas'!$B$3:$B$200,0)),"")</f>
      </c>
      <c r="J143" s="10">
        <f>IFERROR(INDEX('🏢 Empresas'!$F$3:$F$200,MATCH($F143,'🏢 Empresas'!$B$3:$B$200,0)),"")</f>
      </c>
      <c r="K143" s="9"/>
      <c r="L143" s="10">
        <f>IFERROR(INDEX('👥 Estudiantes'!$G$3:$G$200,MATCH($C143,'👥 Estudiantes'!$C$3:$C$200,0)),"")</f>
      </c>
      <c r="M143" s="10">
        <f>IFERROR(INDEX('👥 Estudiantes'!$H$3:$H$200,MATCH($C143,'👥 Estudiantes'!$C$3:$C$200,0)),"")</f>
      </c>
      <c r="N143" s="10">
        <f>IFERROR(INDEX('👥 Estudiantes'!$I$3:$I$200,MATCH($C143,'👥 Estudiantes'!$C$3:$C$200,0)),"")</f>
      </c>
      <c r="O143" s="10">
        <f>IFERROR(INDEX('👥 Estudiantes'!$J$3:$J$200,MATCH($C143,'👥 Estudiantes'!$C$3:$C$200,0)),"")</f>
      </c>
      <c r="P143" s="9"/>
    </row>
    <row r="144" spans="1:16" x14ac:dyDescent="0.25">
      <c r="A144">
        <f>IF($C144="","",ROW()-2)</f>
      </c>
      <c r="B144" s="8">
        <f>IFERROR(INDEX('👥 Estudiantes'!$B$3:$B$200,MATCH($C144,'👥 Estudiantes'!$C$3:$C$200,0)),"")</f>
      </c>
      <c r="C144" s="9"/>
      <c r="D144" s="10">
        <f>IFERROR(INDEX('👥 Estudiantes'!$D$3:$D$200,MATCH($C144,'👥 Estudiantes'!$C$3:$C$200,0)),"")</f>
      </c>
      <c r="E144" s="10">
        <f>IFERROR(INDEX('👥 Estudiantes'!$E$3:$E$200,MATCH($C144,'👥 Estudiantes'!$C$3:$C$200,0)),"")</f>
      </c>
      <c r="F144" s="9"/>
      <c r="G144" s="10">
        <f>IFERROR(INDEX('🏢 Empresas'!$C$3:$C$200,MATCH($F144,'🏢 Empresas'!$B$3:$B$200,0)),"")</f>
      </c>
      <c r="H144" s="10">
        <f>IFERROR(INDEX('🏢 Empresas'!$D$3:$D$200,MATCH($F144,'🏢 Empresas'!$B$3:$B$200,0)),"")</f>
      </c>
      <c r="I144" s="10">
        <f>IFERROR(INDEX('🏢 Empresas'!$E$3:$E$200,MATCH($F144,'🏢 Empresas'!$B$3:$B$200,0)),"")</f>
      </c>
      <c r="J144" s="10">
        <f>IFERROR(INDEX('🏢 Empresas'!$F$3:$F$200,MATCH($F144,'🏢 Empresas'!$B$3:$B$200,0)),"")</f>
      </c>
      <c r="K144" s="9"/>
      <c r="L144" s="10">
        <f>IFERROR(INDEX('👥 Estudiantes'!$G$3:$G$200,MATCH($C144,'👥 Estudiantes'!$C$3:$C$200,0)),"")</f>
      </c>
      <c r="M144" s="10">
        <f>IFERROR(INDEX('👥 Estudiantes'!$H$3:$H$200,MATCH($C144,'👥 Estudiantes'!$C$3:$C$200,0)),"")</f>
      </c>
      <c r="N144" s="10">
        <f>IFERROR(INDEX('👥 Estudiantes'!$I$3:$I$200,MATCH($C144,'👥 Estudiantes'!$C$3:$C$200,0)),"")</f>
      </c>
      <c r="O144" s="10">
        <f>IFERROR(INDEX('👥 Estudiantes'!$J$3:$J$200,MATCH($C144,'👥 Estudiantes'!$C$3:$C$200,0)),"")</f>
      </c>
      <c r="P144" s="9"/>
    </row>
    <row r="145" spans="1:16" x14ac:dyDescent="0.25">
      <c r="A145">
        <f>IF($C145="","",ROW()-2)</f>
      </c>
      <c r="B145" s="8">
        <f>IFERROR(INDEX('👥 Estudiantes'!$B$3:$B$200,MATCH($C145,'👥 Estudiantes'!$C$3:$C$200,0)),"")</f>
      </c>
      <c r="C145" s="9"/>
      <c r="D145" s="10">
        <f>IFERROR(INDEX('👥 Estudiantes'!$D$3:$D$200,MATCH($C145,'👥 Estudiantes'!$C$3:$C$200,0)),"")</f>
      </c>
      <c r="E145" s="10">
        <f>IFERROR(INDEX('👥 Estudiantes'!$E$3:$E$200,MATCH($C145,'👥 Estudiantes'!$C$3:$C$200,0)),"")</f>
      </c>
      <c r="F145" s="9"/>
      <c r="G145" s="10">
        <f>IFERROR(INDEX('🏢 Empresas'!$C$3:$C$200,MATCH($F145,'🏢 Empresas'!$B$3:$B$200,0)),"")</f>
      </c>
      <c r="H145" s="10">
        <f>IFERROR(INDEX('🏢 Empresas'!$D$3:$D$200,MATCH($F145,'🏢 Empresas'!$B$3:$B$200,0)),"")</f>
      </c>
      <c r="I145" s="10">
        <f>IFERROR(INDEX('🏢 Empresas'!$E$3:$E$200,MATCH($F145,'🏢 Empresas'!$B$3:$B$200,0)),"")</f>
      </c>
      <c r="J145" s="10">
        <f>IFERROR(INDEX('🏢 Empresas'!$F$3:$F$200,MATCH($F145,'🏢 Empresas'!$B$3:$B$200,0)),"")</f>
      </c>
      <c r="K145" s="9"/>
      <c r="L145" s="10">
        <f>IFERROR(INDEX('👥 Estudiantes'!$G$3:$G$200,MATCH($C145,'👥 Estudiantes'!$C$3:$C$200,0)),"")</f>
      </c>
      <c r="M145" s="10">
        <f>IFERROR(INDEX('👥 Estudiantes'!$H$3:$H$200,MATCH($C145,'👥 Estudiantes'!$C$3:$C$200,0)),"")</f>
      </c>
      <c r="N145" s="10">
        <f>IFERROR(INDEX('👥 Estudiantes'!$I$3:$I$200,MATCH($C145,'👥 Estudiantes'!$C$3:$C$200,0)),"")</f>
      </c>
      <c r="O145" s="10">
        <f>IFERROR(INDEX('👥 Estudiantes'!$J$3:$J$200,MATCH($C145,'👥 Estudiantes'!$C$3:$C$200,0)),"")</f>
      </c>
      <c r="P145" s="9"/>
    </row>
    <row r="146" spans="1:16" x14ac:dyDescent="0.25">
      <c r="A146">
        <f>IF($C146="","",ROW()-2)</f>
      </c>
      <c r="B146" s="8">
        <f>IFERROR(INDEX('👥 Estudiantes'!$B$3:$B$200,MATCH($C146,'👥 Estudiantes'!$C$3:$C$200,0)),"")</f>
      </c>
      <c r="C146" s="9"/>
      <c r="D146" s="10">
        <f>IFERROR(INDEX('👥 Estudiantes'!$D$3:$D$200,MATCH($C146,'👥 Estudiantes'!$C$3:$C$200,0)),"")</f>
      </c>
      <c r="E146" s="10">
        <f>IFERROR(INDEX('👥 Estudiantes'!$E$3:$E$200,MATCH($C146,'👥 Estudiantes'!$C$3:$C$200,0)),"")</f>
      </c>
      <c r="F146" s="9"/>
      <c r="G146" s="10">
        <f>IFERROR(INDEX('🏢 Empresas'!$C$3:$C$200,MATCH($F146,'🏢 Empresas'!$B$3:$B$200,0)),"")</f>
      </c>
      <c r="H146" s="10">
        <f>IFERROR(INDEX('🏢 Empresas'!$D$3:$D$200,MATCH($F146,'🏢 Empresas'!$B$3:$B$200,0)),"")</f>
      </c>
      <c r="I146" s="10">
        <f>IFERROR(INDEX('🏢 Empresas'!$E$3:$E$200,MATCH($F146,'🏢 Empresas'!$B$3:$B$200,0)),"")</f>
      </c>
      <c r="J146" s="10">
        <f>IFERROR(INDEX('🏢 Empresas'!$F$3:$F$200,MATCH($F146,'🏢 Empresas'!$B$3:$B$200,0)),"")</f>
      </c>
      <c r="K146" s="9"/>
      <c r="L146" s="10">
        <f>IFERROR(INDEX('👥 Estudiantes'!$G$3:$G$200,MATCH($C146,'👥 Estudiantes'!$C$3:$C$200,0)),"")</f>
      </c>
      <c r="M146" s="10">
        <f>IFERROR(INDEX('👥 Estudiantes'!$H$3:$H$200,MATCH($C146,'👥 Estudiantes'!$C$3:$C$200,0)),"")</f>
      </c>
      <c r="N146" s="10">
        <f>IFERROR(INDEX('👥 Estudiantes'!$I$3:$I$200,MATCH($C146,'👥 Estudiantes'!$C$3:$C$200,0)),"")</f>
      </c>
      <c r="O146" s="10">
        <f>IFERROR(INDEX('👥 Estudiantes'!$J$3:$J$200,MATCH($C146,'👥 Estudiantes'!$C$3:$C$200,0)),"")</f>
      </c>
      <c r="P146" s="9"/>
    </row>
    <row r="147" spans="1:16" x14ac:dyDescent="0.25">
      <c r="A147">
        <f>IF($C147="","",ROW()-2)</f>
      </c>
      <c r="B147" s="8">
        <f>IFERROR(INDEX('👥 Estudiantes'!$B$3:$B$200,MATCH($C147,'👥 Estudiantes'!$C$3:$C$200,0)),"")</f>
      </c>
      <c r="C147" s="9"/>
      <c r="D147" s="10">
        <f>IFERROR(INDEX('👥 Estudiantes'!$D$3:$D$200,MATCH($C147,'👥 Estudiantes'!$C$3:$C$200,0)),"")</f>
      </c>
      <c r="E147" s="10">
        <f>IFERROR(INDEX('👥 Estudiantes'!$E$3:$E$200,MATCH($C147,'👥 Estudiantes'!$C$3:$C$200,0)),"")</f>
      </c>
      <c r="F147" s="9"/>
      <c r="G147" s="10">
        <f>IFERROR(INDEX('🏢 Empresas'!$C$3:$C$200,MATCH($F147,'🏢 Empresas'!$B$3:$B$200,0)),"")</f>
      </c>
      <c r="H147" s="10">
        <f>IFERROR(INDEX('🏢 Empresas'!$D$3:$D$200,MATCH($F147,'🏢 Empresas'!$B$3:$B$200,0)),"")</f>
      </c>
      <c r="I147" s="10">
        <f>IFERROR(INDEX('🏢 Empresas'!$E$3:$E$200,MATCH($F147,'🏢 Empresas'!$B$3:$B$200,0)),"")</f>
      </c>
      <c r="J147" s="10">
        <f>IFERROR(INDEX('🏢 Empresas'!$F$3:$F$200,MATCH($F147,'🏢 Empresas'!$B$3:$B$200,0)),"")</f>
      </c>
      <c r="K147" s="9"/>
      <c r="L147" s="10">
        <f>IFERROR(INDEX('👥 Estudiantes'!$G$3:$G$200,MATCH($C147,'👥 Estudiantes'!$C$3:$C$200,0)),"")</f>
      </c>
      <c r="M147" s="10">
        <f>IFERROR(INDEX('👥 Estudiantes'!$H$3:$H$200,MATCH($C147,'👥 Estudiantes'!$C$3:$C$200,0)),"")</f>
      </c>
      <c r="N147" s="10">
        <f>IFERROR(INDEX('👥 Estudiantes'!$I$3:$I$200,MATCH($C147,'👥 Estudiantes'!$C$3:$C$200,0)),"")</f>
      </c>
      <c r="O147" s="10">
        <f>IFERROR(INDEX('👥 Estudiantes'!$J$3:$J$200,MATCH($C147,'👥 Estudiantes'!$C$3:$C$200,0)),"")</f>
      </c>
      <c r="P147" s="9"/>
    </row>
    <row r="148" spans="1:16" x14ac:dyDescent="0.25">
      <c r="A148">
        <f>IF($C148="","",ROW()-2)</f>
      </c>
      <c r="B148" s="8">
        <f>IFERROR(INDEX('👥 Estudiantes'!$B$3:$B$200,MATCH($C148,'👥 Estudiantes'!$C$3:$C$200,0)),"")</f>
      </c>
      <c r="C148" s="9"/>
      <c r="D148" s="10">
        <f>IFERROR(INDEX('👥 Estudiantes'!$D$3:$D$200,MATCH($C148,'👥 Estudiantes'!$C$3:$C$200,0)),"")</f>
      </c>
      <c r="E148" s="10">
        <f>IFERROR(INDEX('👥 Estudiantes'!$E$3:$E$200,MATCH($C148,'👥 Estudiantes'!$C$3:$C$200,0)),"")</f>
      </c>
      <c r="F148" s="9"/>
      <c r="G148" s="10">
        <f>IFERROR(INDEX('🏢 Empresas'!$C$3:$C$200,MATCH($F148,'🏢 Empresas'!$B$3:$B$200,0)),"")</f>
      </c>
      <c r="H148" s="10">
        <f>IFERROR(INDEX('🏢 Empresas'!$D$3:$D$200,MATCH($F148,'🏢 Empresas'!$B$3:$B$200,0)),"")</f>
      </c>
      <c r="I148" s="10">
        <f>IFERROR(INDEX('🏢 Empresas'!$E$3:$E$200,MATCH($F148,'🏢 Empresas'!$B$3:$B$200,0)),"")</f>
      </c>
      <c r="J148" s="10">
        <f>IFERROR(INDEX('🏢 Empresas'!$F$3:$F$200,MATCH($F148,'🏢 Empresas'!$B$3:$B$200,0)),"")</f>
      </c>
      <c r="K148" s="9"/>
      <c r="L148" s="10">
        <f>IFERROR(INDEX('👥 Estudiantes'!$G$3:$G$200,MATCH($C148,'👥 Estudiantes'!$C$3:$C$200,0)),"")</f>
      </c>
      <c r="M148" s="10">
        <f>IFERROR(INDEX('👥 Estudiantes'!$H$3:$H$200,MATCH($C148,'👥 Estudiantes'!$C$3:$C$200,0)),"")</f>
      </c>
      <c r="N148" s="10">
        <f>IFERROR(INDEX('👥 Estudiantes'!$I$3:$I$200,MATCH($C148,'👥 Estudiantes'!$C$3:$C$200,0)),"")</f>
      </c>
      <c r="O148" s="10">
        <f>IFERROR(INDEX('👥 Estudiantes'!$J$3:$J$200,MATCH($C148,'👥 Estudiantes'!$C$3:$C$200,0)),"")</f>
      </c>
      <c r="P148" s="9"/>
    </row>
    <row r="149" spans="1:16" x14ac:dyDescent="0.25">
      <c r="A149">
        <f>IF($C149="","",ROW()-2)</f>
      </c>
      <c r="B149" s="8">
        <f>IFERROR(INDEX('👥 Estudiantes'!$B$3:$B$200,MATCH($C149,'👥 Estudiantes'!$C$3:$C$200,0)),"")</f>
      </c>
      <c r="C149" s="9"/>
      <c r="D149" s="10">
        <f>IFERROR(INDEX('👥 Estudiantes'!$D$3:$D$200,MATCH($C149,'👥 Estudiantes'!$C$3:$C$200,0)),"")</f>
      </c>
      <c r="E149" s="10">
        <f>IFERROR(INDEX('👥 Estudiantes'!$E$3:$E$200,MATCH($C149,'👥 Estudiantes'!$C$3:$C$200,0)),"")</f>
      </c>
      <c r="F149" s="9"/>
      <c r="G149" s="10">
        <f>IFERROR(INDEX('🏢 Empresas'!$C$3:$C$200,MATCH($F149,'🏢 Empresas'!$B$3:$B$200,0)),"")</f>
      </c>
      <c r="H149" s="10">
        <f>IFERROR(INDEX('🏢 Empresas'!$D$3:$D$200,MATCH($F149,'🏢 Empresas'!$B$3:$B$200,0)),"")</f>
      </c>
      <c r="I149" s="10">
        <f>IFERROR(INDEX('🏢 Empresas'!$E$3:$E$200,MATCH($F149,'🏢 Empresas'!$B$3:$B$200,0)),"")</f>
      </c>
      <c r="J149" s="10">
        <f>IFERROR(INDEX('🏢 Empresas'!$F$3:$F$200,MATCH($F149,'🏢 Empresas'!$B$3:$B$200,0)),"")</f>
      </c>
      <c r="K149" s="9"/>
      <c r="L149" s="10">
        <f>IFERROR(INDEX('👥 Estudiantes'!$G$3:$G$200,MATCH($C149,'👥 Estudiantes'!$C$3:$C$200,0)),"")</f>
      </c>
      <c r="M149" s="10">
        <f>IFERROR(INDEX('👥 Estudiantes'!$H$3:$H$200,MATCH($C149,'👥 Estudiantes'!$C$3:$C$200,0)),"")</f>
      </c>
      <c r="N149" s="10">
        <f>IFERROR(INDEX('👥 Estudiantes'!$I$3:$I$200,MATCH($C149,'👥 Estudiantes'!$C$3:$C$200,0)),"")</f>
      </c>
      <c r="O149" s="10">
        <f>IFERROR(INDEX('👥 Estudiantes'!$J$3:$J$200,MATCH($C149,'👥 Estudiantes'!$C$3:$C$200,0)),"")</f>
      </c>
      <c r="P149" s="9"/>
    </row>
    <row r="150" spans="1:16" x14ac:dyDescent="0.25">
      <c r="A150">
        <f>IF($C150="","",ROW()-2)</f>
      </c>
      <c r="B150" s="8">
        <f>IFERROR(INDEX('👥 Estudiantes'!$B$3:$B$200,MATCH($C150,'👥 Estudiantes'!$C$3:$C$200,0)),"")</f>
      </c>
      <c r="C150" s="9"/>
      <c r="D150" s="10">
        <f>IFERROR(INDEX('👥 Estudiantes'!$D$3:$D$200,MATCH($C150,'👥 Estudiantes'!$C$3:$C$200,0)),"")</f>
      </c>
      <c r="E150" s="10">
        <f>IFERROR(INDEX('👥 Estudiantes'!$E$3:$E$200,MATCH($C150,'👥 Estudiantes'!$C$3:$C$200,0)),"")</f>
      </c>
      <c r="F150" s="9"/>
      <c r="G150" s="10">
        <f>IFERROR(INDEX('🏢 Empresas'!$C$3:$C$200,MATCH($F150,'🏢 Empresas'!$B$3:$B$200,0)),"")</f>
      </c>
      <c r="H150" s="10">
        <f>IFERROR(INDEX('🏢 Empresas'!$D$3:$D$200,MATCH($F150,'🏢 Empresas'!$B$3:$B$200,0)),"")</f>
      </c>
      <c r="I150" s="10">
        <f>IFERROR(INDEX('🏢 Empresas'!$E$3:$E$200,MATCH($F150,'🏢 Empresas'!$B$3:$B$200,0)),"")</f>
      </c>
      <c r="J150" s="10">
        <f>IFERROR(INDEX('🏢 Empresas'!$F$3:$F$200,MATCH($F150,'🏢 Empresas'!$B$3:$B$200,0)),"")</f>
      </c>
      <c r="K150" s="9"/>
      <c r="L150" s="10">
        <f>IFERROR(INDEX('👥 Estudiantes'!$G$3:$G$200,MATCH($C150,'👥 Estudiantes'!$C$3:$C$200,0)),"")</f>
      </c>
      <c r="M150" s="10">
        <f>IFERROR(INDEX('👥 Estudiantes'!$H$3:$H$200,MATCH($C150,'👥 Estudiantes'!$C$3:$C$200,0)),"")</f>
      </c>
      <c r="N150" s="10">
        <f>IFERROR(INDEX('👥 Estudiantes'!$I$3:$I$200,MATCH($C150,'👥 Estudiantes'!$C$3:$C$200,0)),"")</f>
      </c>
      <c r="O150" s="10">
        <f>IFERROR(INDEX('👥 Estudiantes'!$J$3:$J$200,MATCH($C150,'👥 Estudiantes'!$C$3:$C$200,0)),"")</f>
      </c>
      <c r="P150" s="9"/>
    </row>
    <row r="151" spans="1:16" x14ac:dyDescent="0.25">
      <c r="A151">
        <f>IF($C151="","",ROW()-2)</f>
      </c>
      <c r="B151" s="8">
        <f>IFERROR(INDEX('👥 Estudiantes'!$B$3:$B$200,MATCH($C151,'👥 Estudiantes'!$C$3:$C$200,0)),"")</f>
      </c>
      <c r="C151" s="9"/>
      <c r="D151" s="10">
        <f>IFERROR(INDEX('👥 Estudiantes'!$D$3:$D$200,MATCH($C151,'👥 Estudiantes'!$C$3:$C$200,0)),"")</f>
      </c>
      <c r="E151" s="10">
        <f>IFERROR(INDEX('👥 Estudiantes'!$E$3:$E$200,MATCH($C151,'👥 Estudiantes'!$C$3:$C$200,0)),"")</f>
      </c>
      <c r="F151" s="9"/>
      <c r="G151" s="10">
        <f>IFERROR(INDEX('🏢 Empresas'!$C$3:$C$200,MATCH($F151,'🏢 Empresas'!$B$3:$B$200,0)),"")</f>
      </c>
      <c r="H151" s="10">
        <f>IFERROR(INDEX('🏢 Empresas'!$D$3:$D$200,MATCH($F151,'🏢 Empresas'!$B$3:$B$200,0)),"")</f>
      </c>
      <c r="I151" s="10">
        <f>IFERROR(INDEX('🏢 Empresas'!$E$3:$E$200,MATCH($F151,'🏢 Empresas'!$B$3:$B$200,0)),"")</f>
      </c>
      <c r="J151" s="10">
        <f>IFERROR(INDEX('🏢 Empresas'!$F$3:$F$200,MATCH($F151,'🏢 Empresas'!$B$3:$B$200,0)),"")</f>
      </c>
      <c r="K151" s="9"/>
      <c r="L151" s="10">
        <f>IFERROR(INDEX('👥 Estudiantes'!$G$3:$G$200,MATCH($C151,'👥 Estudiantes'!$C$3:$C$200,0)),"")</f>
      </c>
      <c r="M151" s="10">
        <f>IFERROR(INDEX('👥 Estudiantes'!$H$3:$H$200,MATCH($C151,'👥 Estudiantes'!$C$3:$C$200,0)),"")</f>
      </c>
      <c r="N151" s="10">
        <f>IFERROR(INDEX('👥 Estudiantes'!$I$3:$I$200,MATCH($C151,'👥 Estudiantes'!$C$3:$C$200,0)),"")</f>
      </c>
      <c r="O151" s="10">
        <f>IFERROR(INDEX('👥 Estudiantes'!$J$3:$J$200,MATCH($C151,'👥 Estudiantes'!$C$3:$C$200,0)),"")</f>
      </c>
      <c r="P151" s="9"/>
    </row>
    <row r="152" spans="1:16" x14ac:dyDescent="0.25">
      <c r="A152">
        <f>IF($C152="","",ROW()-2)</f>
      </c>
      <c r="B152" s="8">
        <f>IFERROR(INDEX('👥 Estudiantes'!$B$3:$B$200,MATCH($C152,'👥 Estudiantes'!$C$3:$C$200,0)),"")</f>
      </c>
      <c r="C152" s="9"/>
      <c r="D152" s="10">
        <f>IFERROR(INDEX('👥 Estudiantes'!$D$3:$D$200,MATCH($C152,'👥 Estudiantes'!$C$3:$C$200,0)),"")</f>
      </c>
      <c r="E152" s="10">
        <f>IFERROR(INDEX('👥 Estudiantes'!$E$3:$E$200,MATCH($C152,'👥 Estudiantes'!$C$3:$C$200,0)),"")</f>
      </c>
      <c r="F152" s="9"/>
      <c r="G152" s="10">
        <f>IFERROR(INDEX('🏢 Empresas'!$C$3:$C$200,MATCH($F152,'🏢 Empresas'!$B$3:$B$200,0)),"")</f>
      </c>
      <c r="H152" s="10">
        <f>IFERROR(INDEX('🏢 Empresas'!$D$3:$D$200,MATCH($F152,'🏢 Empresas'!$B$3:$B$200,0)),"")</f>
      </c>
      <c r="I152" s="10">
        <f>IFERROR(INDEX('🏢 Empresas'!$E$3:$E$200,MATCH($F152,'🏢 Empresas'!$B$3:$B$200,0)),"")</f>
      </c>
      <c r="J152" s="10">
        <f>IFERROR(INDEX('🏢 Empresas'!$F$3:$F$200,MATCH($F152,'🏢 Empresas'!$B$3:$B$200,0)),"")</f>
      </c>
      <c r="K152" s="9"/>
      <c r="L152" s="10">
        <f>IFERROR(INDEX('👥 Estudiantes'!$G$3:$G$200,MATCH($C152,'👥 Estudiantes'!$C$3:$C$200,0)),"")</f>
      </c>
      <c r="M152" s="10">
        <f>IFERROR(INDEX('👥 Estudiantes'!$H$3:$H$200,MATCH($C152,'👥 Estudiantes'!$C$3:$C$200,0)),"")</f>
      </c>
      <c r="N152" s="10">
        <f>IFERROR(INDEX('👥 Estudiantes'!$I$3:$I$200,MATCH($C152,'👥 Estudiantes'!$C$3:$C$200,0)),"")</f>
      </c>
      <c r="O152" s="10">
        <f>IFERROR(INDEX('👥 Estudiantes'!$J$3:$J$200,MATCH($C152,'👥 Estudiantes'!$C$3:$C$200,0)),"")</f>
      </c>
      <c r="P152" s="9"/>
    </row>
    <row r="153" spans="1:16" x14ac:dyDescent="0.25">
      <c r="A153">
        <f>IF($C153="","",ROW()-2)</f>
      </c>
      <c r="B153" s="8">
        <f>IFERROR(INDEX('👥 Estudiantes'!$B$3:$B$200,MATCH($C153,'👥 Estudiantes'!$C$3:$C$200,0)),"")</f>
      </c>
      <c r="C153" s="9"/>
      <c r="D153" s="10">
        <f>IFERROR(INDEX('👥 Estudiantes'!$D$3:$D$200,MATCH($C153,'👥 Estudiantes'!$C$3:$C$200,0)),"")</f>
      </c>
      <c r="E153" s="10">
        <f>IFERROR(INDEX('👥 Estudiantes'!$E$3:$E$200,MATCH($C153,'👥 Estudiantes'!$C$3:$C$200,0)),"")</f>
      </c>
      <c r="F153" s="9"/>
      <c r="G153" s="10">
        <f>IFERROR(INDEX('🏢 Empresas'!$C$3:$C$200,MATCH($F153,'🏢 Empresas'!$B$3:$B$200,0)),"")</f>
      </c>
      <c r="H153" s="10">
        <f>IFERROR(INDEX('🏢 Empresas'!$D$3:$D$200,MATCH($F153,'🏢 Empresas'!$B$3:$B$200,0)),"")</f>
      </c>
      <c r="I153" s="10">
        <f>IFERROR(INDEX('🏢 Empresas'!$E$3:$E$200,MATCH($F153,'🏢 Empresas'!$B$3:$B$200,0)),"")</f>
      </c>
      <c r="J153" s="10">
        <f>IFERROR(INDEX('🏢 Empresas'!$F$3:$F$200,MATCH($F153,'🏢 Empresas'!$B$3:$B$200,0)),"")</f>
      </c>
      <c r="K153" s="9"/>
      <c r="L153" s="10">
        <f>IFERROR(INDEX('👥 Estudiantes'!$G$3:$G$200,MATCH($C153,'👥 Estudiantes'!$C$3:$C$200,0)),"")</f>
      </c>
      <c r="M153" s="10">
        <f>IFERROR(INDEX('👥 Estudiantes'!$H$3:$H$200,MATCH($C153,'👥 Estudiantes'!$C$3:$C$200,0)),"")</f>
      </c>
      <c r="N153" s="10">
        <f>IFERROR(INDEX('👥 Estudiantes'!$I$3:$I$200,MATCH($C153,'👥 Estudiantes'!$C$3:$C$200,0)),"")</f>
      </c>
      <c r="O153" s="10">
        <f>IFERROR(INDEX('👥 Estudiantes'!$J$3:$J$200,MATCH($C153,'👥 Estudiantes'!$C$3:$C$200,0)),"")</f>
      </c>
      <c r="P153" s="9"/>
    </row>
    <row r="154" spans="1:16" x14ac:dyDescent="0.25">
      <c r="A154">
        <f>IF($C154="","",ROW()-2)</f>
      </c>
      <c r="B154" s="8">
        <f>IFERROR(INDEX('👥 Estudiantes'!$B$3:$B$200,MATCH($C154,'👥 Estudiantes'!$C$3:$C$200,0)),"")</f>
      </c>
      <c r="C154" s="9"/>
      <c r="D154" s="10">
        <f>IFERROR(INDEX('👥 Estudiantes'!$D$3:$D$200,MATCH($C154,'👥 Estudiantes'!$C$3:$C$200,0)),"")</f>
      </c>
      <c r="E154" s="10">
        <f>IFERROR(INDEX('👥 Estudiantes'!$E$3:$E$200,MATCH($C154,'👥 Estudiantes'!$C$3:$C$200,0)),"")</f>
      </c>
      <c r="F154" s="9"/>
      <c r="G154" s="10">
        <f>IFERROR(INDEX('🏢 Empresas'!$C$3:$C$200,MATCH($F154,'🏢 Empresas'!$B$3:$B$200,0)),"")</f>
      </c>
      <c r="H154" s="10">
        <f>IFERROR(INDEX('🏢 Empresas'!$D$3:$D$200,MATCH($F154,'🏢 Empresas'!$B$3:$B$200,0)),"")</f>
      </c>
      <c r="I154" s="10">
        <f>IFERROR(INDEX('🏢 Empresas'!$E$3:$E$200,MATCH($F154,'🏢 Empresas'!$B$3:$B$200,0)),"")</f>
      </c>
      <c r="J154" s="10">
        <f>IFERROR(INDEX('🏢 Empresas'!$F$3:$F$200,MATCH($F154,'🏢 Empresas'!$B$3:$B$200,0)),"")</f>
      </c>
      <c r="K154" s="9"/>
      <c r="L154" s="10">
        <f>IFERROR(INDEX('👥 Estudiantes'!$G$3:$G$200,MATCH($C154,'👥 Estudiantes'!$C$3:$C$200,0)),"")</f>
      </c>
      <c r="M154" s="10">
        <f>IFERROR(INDEX('👥 Estudiantes'!$H$3:$H$200,MATCH($C154,'👥 Estudiantes'!$C$3:$C$200,0)),"")</f>
      </c>
      <c r="N154" s="10">
        <f>IFERROR(INDEX('👥 Estudiantes'!$I$3:$I$200,MATCH($C154,'👥 Estudiantes'!$C$3:$C$200,0)),"")</f>
      </c>
      <c r="O154" s="10">
        <f>IFERROR(INDEX('👥 Estudiantes'!$J$3:$J$200,MATCH($C154,'👥 Estudiantes'!$C$3:$C$200,0)),"")</f>
      </c>
      <c r="P154" s="9"/>
    </row>
    <row r="155" spans="1:16" x14ac:dyDescent="0.25">
      <c r="A155">
        <f>IF($C155="","",ROW()-2)</f>
      </c>
      <c r="B155" s="8">
        <f>IFERROR(INDEX('👥 Estudiantes'!$B$3:$B$200,MATCH($C155,'👥 Estudiantes'!$C$3:$C$200,0)),"")</f>
      </c>
      <c r="C155" s="9"/>
      <c r="D155" s="10">
        <f>IFERROR(INDEX('👥 Estudiantes'!$D$3:$D$200,MATCH($C155,'👥 Estudiantes'!$C$3:$C$200,0)),"")</f>
      </c>
      <c r="E155" s="10">
        <f>IFERROR(INDEX('👥 Estudiantes'!$E$3:$E$200,MATCH($C155,'👥 Estudiantes'!$C$3:$C$200,0)),"")</f>
      </c>
      <c r="F155" s="9"/>
      <c r="G155" s="10">
        <f>IFERROR(INDEX('🏢 Empresas'!$C$3:$C$200,MATCH($F155,'🏢 Empresas'!$B$3:$B$200,0)),"")</f>
      </c>
      <c r="H155" s="10">
        <f>IFERROR(INDEX('🏢 Empresas'!$D$3:$D$200,MATCH($F155,'🏢 Empresas'!$B$3:$B$200,0)),"")</f>
      </c>
      <c r="I155" s="10">
        <f>IFERROR(INDEX('🏢 Empresas'!$E$3:$E$200,MATCH($F155,'🏢 Empresas'!$B$3:$B$200,0)),"")</f>
      </c>
      <c r="J155" s="10">
        <f>IFERROR(INDEX('🏢 Empresas'!$F$3:$F$200,MATCH($F155,'🏢 Empresas'!$B$3:$B$200,0)),"")</f>
      </c>
      <c r="K155" s="9"/>
      <c r="L155" s="10">
        <f>IFERROR(INDEX('👥 Estudiantes'!$G$3:$G$200,MATCH($C155,'👥 Estudiantes'!$C$3:$C$200,0)),"")</f>
      </c>
      <c r="M155" s="10">
        <f>IFERROR(INDEX('👥 Estudiantes'!$H$3:$H$200,MATCH($C155,'👥 Estudiantes'!$C$3:$C$200,0)),"")</f>
      </c>
      <c r="N155" s="10">
        <f>IFERROR(INDEX('👥 Estudiantes'!$I$3:$I$200,MATCH($C155,'👥 Estudiantes'!$C$3:$C$200,0)),"")</f>
      </c>
      <c r="O155" s="10">
        <f>IFERROR(INDEX('👥 Estudiantes'!$J$3:$J$200,MATCH($C155,'👥 Estudiantes'!$C$3:$C$200,0)),"")</f>
      </c>
      <c r="P155" s="9"/>
    </row>
    <row r="156" spans="1:16" x14ac:dyDescent="0.25">
      <c r="A156">
        <f>IF($C156="","",ROW()-2)</f>
      </c>
      <c r="B156" s="8">
        <f>IFERROR(INDEX('👥 Estudiantes'!$B$3:$B$200,MATCH($C156,'👥 Estudiantes'!$C$3:$C$200,0)),"")</f>
      </c>
      <c r="C156" s="9"/>
      <c r="D156" s="10">
        <f>IFERROR(INDEX('👥 Estudiantes'!$D$3:$D$200,MATCH($C156,'👥 Estudiantes'!$C$3:$C$200,0)),"")</f>
      </c>
      <c r="E156" s="10">
        <f>IFERROR(INDEX('👥 Estudiantes'!$E$3:$E$200,MATCH($C156,'👥 Estudiantes'!$C$3:$C$200,0)),"")</f>
      </c>
      <c r="F156" s="9"/>
      <c r="G156" s="10">
        <f>IFERROR(INDEX('🏢 Empresas'!$C$3:$C$200,MATCH($F156,'🏢 Empresas'!$B$3:$B$200,0)),"")</f>
      </c>
      <c r="H156" s="10">
        <f>IFERROR(INDEX('🏢 Empresas'!$D$3:$D$200,MATCH($F156,'🏢 Empresas'!$B$3:$B$200,0)),"")</f>
      </c>
      <c r="I156" s="10">
        <f>IFERROR(INDEX('🏢 Empresas'!$E$3:$E$200,MATCH($F156,'🏢 Empresas'!$B$3:$B$200,0)),"")</f>
      </c>
      <c r="J156" s="10">
        <f>IFERROR(INDEX('🏢 Empresas'!$F$3:$F$200,MATCH($F156,'🏢 Empresas'!$B$3:$B$200,0)),"")</f>
      </c>
      <c r="K156" s="9"/>
      <c r="L156" s="10">
        <f>IFERROR(INDEX('👥 Estudiantes'!$G$3:$G$200,MATCH($C156,'👥 Estudiantes'!$C$3:$C$200,0)),"")</f>
      </c>
      <c r="M156" s="10">
        <f>IFERROR(INDEX('👥 Estudiantes'!$H$3:$H$200,MATCH($C156,'👥 Estudiantes'!$C$3:$C$200,0)),"")</f>
      </c>
      <c r="N156" s="10">
        <f>IFERROR(INDEX('👥 Estudiantes'!$I$3:$I$200,MATCH($C156,'👥 Estudiantes'!$C$3:$C$200,0)),"")</f>
      </c>
      <c r="O156" s="10">
        <f>IFERROR(INDEX('👥 Estudiantes'!$J$3:$J$200,MATCH($C156,'👥 Estudiantes'!$C$3:$C$200,0)),"")</f>
      </c>
      <c r="P156" s="9"/>
    </row>
    <row r="157" spans="1:16" x14ac:dyDescent="0.25">
      <c r="A157">
        <f>IF($C157="","",ROW()-2)</f>
      </c>
      <c r="B157" s="8">
        <f>IFERROR(INDEX('👥 Estudiantes'!$B$3:$B$200,MATCH($C157,'👥 Estudiantes'!$C$3:$C$200,0)),"")</f>
      </c>
      <c r="C157" s="9"/>
      <c r="D157" s="10">
        <f>IFERROR(INDEX('👥 Estudiantes'!$D$3:$D$200,MATCH($C157,'👥 Estudiantes'!$C$3:$C$200,0)),"")</f>
      </c>
      <c r="E157" s="10">
        <f>IFERROR(INDEX('👥 Estudiantes'!$E$3:$E$200,MATCH($C157,'👥 Estudiantes'!$C$3:$C$200,0)),"")</f>
      </c>
      <c r="F157" s="9"/>
      <c r="G157" s="10">
        <f>IFERROR(INDEX('🏢 Empresas'!$C$3:$C$200,MATCH($F157,'🏢 Empresas'!$B$3:$B$200,0)),"")</f>
      </c>
      <c r="H157" s="10">
        <f>IFERROR(INDEX('🏢 Empresas'!$D$3:$D$200,MATCH($F157,'🏢 Empresas'!$B$3:$B$200,0)),"")</f>
      </c>
      <c r="I157" s="10">
        <f>IFERROR(INDEX('🏢 Empresas'!$E$3:$E$200,MATCH($F157,'🏢 Empresas'!$B$3:$B$200,0)),"")</f>
      </c>
      <c r="J157" s="10">
        <f>IFERROR(INDEX('🏢 Empresas'!$F$3:$F$200,MATCH($F157,'🏢 Empresas'!$B$3:$B$200,0)),"")</f>
      </c>
      <c r="K157" s="9"/>
      <c r="L157" s="10">
        <f>IFERROR(INDEX('👥 Estudiantes'!$G$3:$G$200,MATCH($C157,'👥 Estudiantes'!$C$3:$C$200,0)),"")</f>
      </c>
      <c r="M157" s="10">
        <f>IFERROR(INDEX('👥 Estudiantes'!$H$3:$H$200,MATCH($C157,'👥 Estudiantes'!$C$3:$C$200,0)),"")</f>
      </c>
      <c r="N157" s="10">
        <f>IFERROR(INDEX('👥 Estudiantes'!$I$3:$I$200,MATCH($C157,'👥 Estudiantes'!$C$3:$C$200,0)),"")</f>
      </c>
      <c r="O157" s="10">
        <f>IFERROR(INDEX('👥 Estudiantes'!$J$3:$J$200,MATCH($C157,'👥 Estudiantes'!$C$3:$C$200,0)),"")</f>
      </c>
      <c r="P157" s="9"/>
    </row>
    <row r="158" spans="1:16" x14ac:dyDescent="0.25">
      <c r="A158">
        <f>IF($C158="","",ROW()-2)</f>
      </c>
      <c r="B158" s="8">
        <f>IFERROR(INDEX('👥 Estudiantes'!$B$3:$B$200,MATCH($C158,'👥 Estudiantes'!$C$3:$C$200,0)),"")</f>
      </c>
      <c r="C158" s="9"/>
      <c r="D158" s="10">
        <f>IFERROR(INDEX('👥 Estudiantes'!$D$3:$D$200,MATCH($C158,'👥 Estudiantes'!$C$3:$C$200,0)),"")</f>
      </c>
      <c r="E158" s="10">
        <f>IFERROR(INDEX('👥 Estudiantes'!$E$3:$E$200,MATCH($C158,'👥 Estudiantes'!$C$3:$C$200,0)),"")</f>
      </c>
      <c r="F158" s="9"/>
      <c r="G158" s="10">
        <f>IFERROR(INDEX('🏢 Empresas'!$C$3:$C$200,MATCH($F158,'🏢 Empresas'!$B$3:$B$200,0)),"")</f>
      </c>
      <c r="H158" s="10">
        <f>IFERROR(INDEX('🏢 Empresas'!$D$3:$D$200,MATCH($F158,'🏢 Empresas'!$B$3:$B$200,0)),"")</f>
      </c>
      <c r="I158" s="10">
        <f>IFERROR(INDEX('🏢 Empresas'!$E$3:$E$200,MATCH($F158,'🏢 Empresas'!$B$3:$B$200,0)),"")</f>
      </c>
      <c r="J158" s="10">
        <f>IFERROR(INDEX('🏢 Empresas'!$F$3:$F$200,MATCH($F158,'🏢 Empresas'!$B$3:$B$200,0)),"")</f>
      </c>
      <c r="K158" s="9"/>
      <c r="L158" s="10">
        <f>IFERROR(INDEX('👥 Estudiantes'!$G$3:$G$200,MATCH($C158,'👥 Estudiantes'!$C$3:$C$200,0)),"")</f>
      </c>
      <c r="M158" s="10">
        <f>IFERROR(INDEX('👥 Estudiantes'!$H$3:$H$200,MATCH($C158,'👥 Estudiantes'!$C$3:$C$200,0)),"")</f>
      </c>
      <c r="N158" s="10">
        <f>IFERROR(INDEX('👥 Estudiantes'!$I$3:$I$200,MATCH($C158,'👥 Estudiantes'!$C$3:$C$200,0)),"")</f>
      </c>
      <c r="O158" s="10">
        <f>IFERROR(INDEX('👥 Estudiantes'!$J$3:$J$200,MATCH($C158,'👥 Estudiantes'!$C$3:$C$200,0)),"")</f>
      </c>
      <c r="P158" s="9"/>
    </row>
    <row r="159" spans="1:16" x14ac:dyDescent="0.25">
      <c r="A159">
        <f>IF($C159="","",ROW()-2)</f>
      </c>
      <c r="B159" s="8">
        <f>IFERROR(INDEX('👥 Estudiantes'!$B$3:$B$200,MATCH($C159,'👥 Estudiantes'!$C$3:$C$200,0)),"")</f>
      </c>
      <c r="C159" s="9"/>
      <c r="D159" s="10">
        <f>IFERROR(INDEX('👥 Estudiantes'!$D$3:$D$200,MATCH($C159,'👥 Estudiantes'!$C$3:$C$200,0)),"")</f>
      </c>
      <c r="E159" s="10">
        <f>IFERROR(INDEX('👥 Estudiantes'!$E$3:$E$200,MATCH($C159,'👥 Estudiantes'!$C$3:$C$200,0)),"")</f>
      </c>
      <c r="F159" s="9"/>
      <c r="G159" s="10">
        <f>IFERROR(INDEX('🏢 Empresas'!$C$3:$C$200,MATCH($F159,'🏢 Empresas'!$B$3:$B$200,0)),"")</f>
      </c>
      <c r="H159" s="10">
        <f>IFERROR(INDEX('🏢 Empresas'!$D$3:$D$200,MATCH($F159,'🏢 Empresas'!$B$3:$B$200,0)),"")</f>
      </c>
      <c r="I159" s="10">
        <f>IFERROR(INDEX('🏢 Empresas'!$E$3:$E$200,MATCH($F159,'🏢 Empresas'!$B$3:$B$200,0)),"")</f>
      </c>
      <c r="J159" s="10">
        <f>IFERROR(INDEX('🏢 Empresas'!$F$3:$F$200,MATCH($F159,'🏢 Empresas'!$B$3:$B$200,0)),"")</f>
      </c>
      <c r="K159" s="9"/>
      <c r="L159" s="10">
        <f>IFERROR(INDEX('👥 Estudiantes'!$G$3:$G$200,MATCH($C159,'👥 Estudiantes'!$C$3:$C$200,0)),"")</f>
      </c>
      <c r="M159" s="10">
        <f>IFERROR(INDEX('👥 Estudiantes'!$H$3:$H$200,MATCH($C159,'👥 Estudiantes'!$C$3:$C$200,0)),"")</f>
      </c>
      <c r="N159" s="10">
        <f>IFERROR(INDEX('👥 Estudiantes'!$I$3:$I$200,MATCH($C159,'👥 Estudiantes'!$C$3:$C$200,0)),"")</f>
      </c>
      <c r="O159" s="10">
        <f>IFERROR(INDEX('👥 Estudiantes'!$J$3:$J$200,MATCH($C159,'👥 Estudiantes'!$C$3:$C$200,0)),"")</f>
      </c>
      <c r="P159" s="9"/>
    </row>
    <row r="160" spans="1:16" x14ac:dyDescent="0.25">
      <c r="A160">
        <f>IF($C160="","",ROW()-2)</f>
      </c>
      <c r="B160" s="8">
        <f>IFERROR(INDEX('👥 Estudiantes'!$B$3:$B$200,MATCH($C160,'👥 Estudiantes'!$C$3:$C$200,0)),"")</f>
      </c>
      <c r="C160" s="9"/>
      <c r="D160" s="10">
        <f>IFERROR(INDEX('👥 Estudiantes'!$D$3:$D$200,MATCH($C160,'👥 Estudiantes'!$C$3:$C$200,0)),"")</f>
      </c>
      <c r="E160" s="10">
        <f>IFERROR(INDEX('👥 Estudiantes'!$E$3:$E$200,MATCH($C160,'👥 Estudiantes'!$C$3:$C$200,0)),"")</f>
      </c>
      <c r="F160" s="9"/>
      <c r="G160" s="10">
        <f>IFERROR(INDEX('🏢 Empresas'!$C$3:$C$200,MATCH($F160,'🏢 Empresas'!$B$3:$B$200,0)),"")</f>
      </c>
      <c r="H160" s="10">
        <f>IFERROR(INDEX('🏢 Empresas'!$D$3:$D$200,MATCH($F160,'🏢 Empresas'!$B$3:$B$200,0)),"")</f>
      </c>
      <c r="I160" s="10">
        <f>IFERROR(INDEX('🏢 Empresas'!$E$3:$E$200,MATCH($F160,'🏢 Empresas'!$B$3:$B$200,0)),"")</f>
      </c>
      <c r="J160" s="10">
        <f>IFERROR(INDEX('🏢 Empresas'!$F$3:$F$200,MATCH($F160,'🏢 Empresas'!$B$3:$B$200,0)),"")</f>
      </c>
      <c r="K160" s="9"/>
      <c r="L160" s="10">
        <f>IFERROR(INDEX('👥 Estudiantes'!$G$3:$G$200,MATCH($C160,'👥 Estudiantes'!$C$3:$C$200,0)),"")</f>
      </c>
      <c r="M160" s="10">
        <f>IFERROR(INDEX('👥 Estudiantes'!$H$3:$H$200,MATCH($C160,'👥 Estudiantes'!$C$3:$C$200,0)),"")</f>
      </c>
      <c r="N160" s="10">
        <f>IFERROR(INDEX('👥 Estudiantes'!$I$3:$I$200,MATCH($C160,'👥 Estudiantes'!$C$3:$C$200,0)),"")</f>
      </c>
      <c r="O160" s="10">
        <f>IFERROR(INDEX('👥 Estudiantes'!$J$3:$J$200,MATCH($C160,'👥 Estudiantes'!$C$3:$C$200,0)),"")</f>
      </c>
      <c r="P160" s="9"/>
    </row>
    <row r="161" spans="1:16" x14ac:dyDescent="0.25">
      <c r="A161">
        <f>IF($C161="","",ROW()-2)</f>
      </c>
      <c r="B161" s="8">
        <f>IFERROR(INDEX('👥 Estudiantes'!$B$3:$B$200,MATCH($C161,'👥 Estudiantes'!$C$3:$C$200,0)),"")</f>
      </c>
      <c r="C161" s="9"/>
      <c r="D161" s="10">
        <f>IFERROR(INDEX('👥 Estudiantes'!$D$3:$D$200,MATCH($C161,'👥 Estudiantes'!$C$3:$C$200,0)),"")</f>
      </c>
      <c r="E161" s="10">
        <f>IFERROR(INDEX('👥 Estudiantes'!$E$3:$E$200,MATCH($C161,'👥 Estudiantes'!$C$3:$C$200,0)),"")</f>
      </c>
      <c r="F161" s="9"/>
      <c r="G161" s="10">
        <f>IFERROR(INDEX('🏢 Empresas'!$C$3:$C$200,MATCH($F161,'🏢 Empresas'!$B$3:$B$200,0)),"")</f>
      </c>
      <c r="H161" s="10">
        <f>IFERROR(INDEX('🏢 Empresas'!$D$3:$D$200,MATCH($F161,'🏢 Empresas'!$B$3:$B$200,0)),"")</f>
      </c>
      <c r="I161" s="10">
        <f>IFERROR(INDEX('🏢 Empresas'!$E$3:$E$200,MATCH($F161,'🏢 Empresas'!$B$3:$B$200,0)),"")</f>
      </c>
      <c r="J161" s="10">
        <f>IFERROR(INDEX('🏢 Empresas'!$F$3:$F$200,MATCH($F161,'🏢 Empresas'!$B$3:$B$200,0)),"")</f>
      </c>
      <c r="K161" s="9"/>
      <c r="L161" s="10">
        <f>IFERROR(INDEX('👥 Estudiantes'!$G$3:$G$200,MATCH($C161,'👥 Estudiantes'!$C$3:$C$200,0)),"")</f>
      </c>
      <c r="M161" s="10">
        <f>IFERROR(INDEX('👥 Estudiantes'!$H$3:$H$200,MATCH($C161,'👥 Estudiantes'!$C$3:$C$200,0)),"")</f>
      </c>
      <c r="N161" s="10">
        <f>IFERROR(INDEX('👥 Estudiantes'!$I$3:$I$200,MATCH($C161,'👥 Estudiantes'!$C$3:$C$200,0)),"")</f>
      </c>
      <c r="O161" s="10">
        <f>IFERROR(INDEX('👥 Estudiantes'!$J$3:$J$200,MATCH($C161,'👥 Estudiantes'!$C$3:$C$200,0)),"")</f>
      </c>
      <c r="P161" s="9"/>
    </row>
    <row r="162" spans="1:16" x14ac:dyDescent="0.25">
      <c r="A162">
        <f>IF($C162="","",ROW()-2)</f>
      </c>
      <c r="B162" s="8">
        <f>IFERROR(INDEX('👥 Estudiantes'!$B$3:$B$200,MATCH($C162,'👥 Estudiantes'!$C$3:$C$200,0)),"")</f>
      </c>
      <c r="C162" s="9"/>
      <c r="D162" s="10">
        <f>IFERROR(INDEX('👥 Estudiantes'!$D$3:$D$200,MATCH($C162,'👥 Estudiantes'!$C$3:$C$200,0)),"")</f>
      </c>
      <c r="E162" s="10">
        <f>IFERROR(INDEX('👥 Estudiantes'!$E$3:$E$200,MATCH($C162,'👥 Estudiantes'!$C$3:$C$200,0)),"")</f>
      </c>
      <c r="F162" s="9"/>
      <c r="G162" s="10">
        <f>IFERROR(INDEX('🏢 Empresas'!$C$3:$C$200,MATCH($F162,'🏢 Empresas'!$B$3:$B$200,0)),"")</f>
      </c>
      <c r="H162" s="10">
        <f>IFERROR(INDEX('🏢 Empresas'!$D$3:$D$200,MATCH($F162,'🏢 Empresas'!$B$3:$B$200,0)),"")</f>
      </c>
      <c r="I162" s="10">
        <f>IFERROR(INDEX('🏢 Empresas'!$E$3:$E$200,MATCH($F162,'🏢 Empresas'!$B$3:$B$200,0)),"")</f>
      </c>
      <c r="J162" s="10">
        <f>IFERROR(INDEX('🏢 Empresas'!$F$3:$F$200,MATCH($F162,'🏢 Empresas'!$B$3:$B$200,0)),"")</f>
      </c>
      <c r="K162" s="9"/>
      <c r="L162" s="10">
        <f>IFERROR(INDEX('👥 Estudiantes'!$G$3:$G$200,MATCH($C162,'👥 Estudiantes'!$C$3:$C$200,0)),"")</f>
      </c>
      <c r="M162" s="10">
        <f>IFERROR(INDEX('👥 Estudiantes'!$H$3:$H$200,MATCH($C162,'👥 Estudiantes'!$C$3:$C$200,0)),"")</f>
      </c>
      <c r="N162" s="10">
        <f>IFERROR(INDEX('👥 Estudiantes'!$I$3:$I$200,MATCH($C162,'👥 Estudiantes'!$C$3:$C$200,0)),"")</f>
      </c>
      <c r="O162" s="10">
        <f>IFERROR(INDEX('👥 Estudiantes'!$J$3:$J$200,MATCH($C162,'👥 Estudiantes'!$C$3:$C$200,0)),"")</f>
      </c>
      <c r="P162" s="9"/>
    </row>
    <row r="163" spans="1:16" x14ac:dyDescent="0.25">
      <c r="A163">
        <f>IF($C163="","",ROW()-2)</f>
      </c>
      <c r="B163" s="8">
        <f>IFERROR(INDEX('👥 Estudiantes'!$B$3:$B$200,MATCH($C163,'👥 Estudiantes'!$C$3:$C$200,0)),"")</f>
      </c>
      <c r="C163" s="9"/>
      <c r="D163" s="10">
        <f>IFERROR(INDEX('👥 Estudiantes'!$D$3:$D$200,MATCH($C163,'👥 Estudiantes'!$C$3:$C$200,0)),"")</f>
      </c>
      <c r="E163" s="10">
        <f>IFERROR(INDEX('👥 Estudiantes'!$E$3:$E$200,MATCH($C163,'👥 Estudiantes'!$C$3:$C$200,0)),"")</f>
      </c>
      <c r="F163" s="9"/>
      <c r="G163" s="10">
        <f>IFERROR(INDEX('🏢 Empresas'!$C$3:$C$200,MATCH($F163,'🏢 Empresas'!$B$3:$B$200,0)),"")</f>
      </c>
      <c r="H163" s="10">
        <f>IFERROR(INDEX('🏢 Empresas'!$D$3:$D$200,MATCH($F163,'🏢 Empresas'!$B$3:$B$200,0)),"")</f>
      </c>
      <c r="I163" s="10">
        <f>IFERROR(INDEX('🏢 Empresas'!$E$3:$E$200,MATCH($F163,'🏢 Empresas'!$B$3:$B$200,0)),"")</f>
      </c>
      <c r="J163" s="10">
        <f>IFERROR(INDEX('🏢 Empresas'!$F$3:$F$200,MATCH($F163,'🏢 Empresas'!$B$3:$B$200,0)),"")</f>
      </c>
      <c r="K163" s="9"/>
      <c r="L163" s="10">
        <f>IFERROR(INDEX('👥 Estudiantes'!$G$3:$G$200,MATCH($C163,'👥 Estudiantes'!$C$3:$C$200,0)),"")</f>
      </c>
      <c r="M163" s="10">
        <f>IFERROR(INDEX('👥 Estudiantes'!$H$3:$H$200,MATCH($C163,'👥 Estudiantes'!$C$3:$C$200,0)),"")</f>
      </c>
      <c r="N163" s="10">
        <f>IFERROR(INDEX('👥 Estudiantes'!$I$3:$I$200,MATCH($C163,'👥 Estudiantes'!$C$3:$C$200,0)),"")</f>
      </c>
      <c r="O163" s="10">
        <f>IFERROR(INDEX('👥 Estudiantes'!$J$3:$J$200,MATCH($C163,'👥 Estudiantes'!$C$3:$C$200,0)),"")</f>
      </c>
      <c r="P163" s="9"/>
    </row>
    <row r="164" spans="1:16" x14ac:dyDescent="0.25">
      <c r="A164">
        <f>IF($C164="","",ROW()-2)</f>
      </c>
      <c r="B164" s="8">
        <f>IFERROR(INDEX('👥 Estudiantes'!$B$3:$B$200,MATCH($C164,'👥 Estudiantes'!$C$3:$C$200,0)),"")</f>
      </c>
      <c r="C164" s="9"/>
      <c r="D164" s="10">
        <f>IFERROR(INDEX('👥 Estudiantes'!$D$3:$D$200,MATCH($C164,'👥 Estudiantes'!$C$3:$C$200,0)),"")</f>
      </c>
      <c r="E164" s="10">
        <f>IFERROR(INDEX('👥 Estudiantes'!$E$3:$E$200,MATCH($C164,'👥 Estudiantes'!$C$3:$C$200,0)),"")</f>
      </c>
      <c r="F164" s="9"/>
      <c r="G164" s="10">
        <f>IFERROR(INDEX('🏢 Empresas'!$C$3:$C$200,MATCH($F164,'🏢 Empresas'!$B$3:$B$200,0)),"")</f>
      </c>
      <c r="H164" s="10">
        <f>IFERROR(INDEX('🏢 Empresas'!$D$3:$D$200,MATCH($F164,'🏢 Empresas'!$B$3:$B$200,0)),"")</f>
      </c>
      <c r="I164" s="10">
        <f>IFERROR(INDEX('🏢 Empresas'!$E$3:$E$200,MATCH($F164,'🏢 Empresas'!$B$3:$B$200,0)),"")</f>
      </c>
      <c r="J164" s="10">
        <f>IFERROR(INDEX('🏢 Empresas'!$F$3:$F$200,MATCH($F164,'🏢 Empresas'!$B$3:$B$200,0)),"")</f>
      </c>
      <c r="K164" s="9"/>
      <c r="L164" s="10">
        <f>IFERROR(INDEX('👥 Estudiantes'!$G$3:$G$200,MATCH($C164,'👥 Estudiantes'!$C$3:$C$200,0)),"")</f>
      </c>
      <c r="M164" s="10">
        <f>IFERROR(INDEX('👥 Estudiantes'!$H$3:$H$200,MATCH($C164,'👥 Estudiantes'!$C$3:$C$200,0)),"")</f>
      </c>
      <c r="N164" s="10">
        <f>IFERROR(INDEX('👥 Estudiantes'!$I$3:$I$200,MATCH($C164,'👥 Estudiantes'!$C$3:$C$200,0)),"")</f>
      </c>
      <c r="O164" s="10">
        <f>IFERROR(INDEX('👥 Estudiantes'!$J$3:$J$200,MATCH($C164,'👥 Estudiantes'!$C$3:$C$200,0)),"")</f>
      </c>
      <c r="P164" s="9"/>
    </row>
    <row r="165" spans="1:16" x14ac:dyDescent="0.25">
      <c r="A165">
        <f>IF($C165="","",ROW()-2)</f>
      </c>
      <c r="B165" s="8">
        <f>IFERROR(INDEX('👥 Estudiantes'!$B$3:$B$200,MATCH($C165,'👥 Estudiantes'!$C$3:$C$200,0)),"")</f>
      </c>
      <c r="C165" s="9"/>
      <c r="D165" s="10">
        <f>IFERROR(INDEX('👥 Estudiantes'!$D$3:$D$200,MATCH($C165,'👥 Estudiantes'!$C$3:$C$200,0)),"")</f>
      </c>
      <c r="E165" s="10">
        <f>IFERROR(INDEX('👥 Estudiantes'!$E$3:$E$200,MATCH($C165,'👥 Estudiantes'!$C$3:$C$200,0)),"")</f>
      </c>
      <c r="F165" s="9"/>
      <c r="G165" s="10">
        <f>IFERROR(INDEX('🏢 Empresas'!$C$3:$C$200,MATCH($F165,'🏢 Empresas'!$B$3:$B$200,0)),"")</f>
      </c>
      <c r="H165" s="10">
        <f>IFERROR(INDEX('🏢 Empresas'!$D$3:$D$200,MATCH($F165,'🏢 Empresas'!$B$3:$B$200,0)),"")</f>
      </c>
      <c r="I165" s="10">
        <f>IFERROR(INDEX('🏢 Empresas'!$E$3:$E$200,MATCH($F165,'🏢 Empresas'!$B$3:$B$200,0)),"")</f>
      </c>
      <c r="J165" s="10">
        <f>IFERROR(INDEX('🏢 Empresas'!$F$3:$F$200,MATCH($F165,'🏢 Empresas'!$B$3:$B$200,0)),"")</f>
      </c>
      <c r="K165" s="9"/>
      <c r="L165" s="10">
        <f>IFERROR(INDEX('👥 Estudiantes'!$G$3:$G$200,MATCH($C165,'👥 Estudiantes'!$C$3:$C$200,0)),"")</f>
      </c>
      <c r="M165" s="10">
        <f>IFERROR(INDEX('👥 Estudiantes'!$H$3:$H$200,MATCH($C165,'👥 Estudiantes'!$C$3:$C$200,0)),"")</f>
      </c>
      <c r="N165" s="10">
        <f>IFERROR(INDEX('👥 Estudiantes'!$I$3:$I$200,MATCH($C165,'👥 Estudiantes'!$C$3:$C$200,0)),"")</f>
      </c>
      <c r="O165" s="10">
        <f>IFERROR(INDEX('👥 Estudiantes'!$J$3:$J$200,MATCH($C165,'👥 Estudiantes'!$C$3:$C$200,0)),"")</f>
      </c>
      <c r="P165" s="9"/>
    </row>
    <row r="166" spans="1:16" x14ac:dyDescent="0.25">
      <c r="A166">
        <f>IF($C166="","",ROW()-2)</f>
      </c>
      <c r="B166" s="8">
        <f>IFERROR(INDEX('👥 Estudiantes'!$B$3:$B$200,MATCH($C166,'👥 Estudiantes'!$C$3:$C$200,0)),"")</f>
      </c>
      <c r="C166" s="9"/>
      <c r="D166" s="10">
        <f>IFERROR(INDEX('👥 Estudiantes'!$D$3:$D$200,MATCH($C166,'👥 Estudiantes'!$C$3:$C$200,0)),"")</f>
      </c>
      <c r="E166" s="10">
        <f>IFERROR(INDEX('👥 Estudiantes'!$E$3:$E$200,MATCH($C166,'👥 Estudiantes'!$C$3:$C$200,0)),"")</f>
      </c>
      <c r="F166" s="9"/>
      <c r="G166" s="10">
        <f>IFERROR(INDEX('🏢 Empresas'!$C$3:$C$200,MATCH($F166,'🏢 Empresas'!$B$3:$B$200,0)),"")</f>
      </c>
      <c r="H166" s="10">
        <f>IFERROR(INDEX('🏢 Empresas'!$D$3:$D$200,MATCH($F166,'🏢 Empresas'!$B$3:$B$200,0)),"")</f>
      </c>
      <c r="I166" s="10">
        <f>IFERROR(INDEX('🏢 Empresas'!$E$3:$E$200,MATCH($F166,'🏢 Empresas'!$B$3:$B$200,0)),"")</f>
      </c>
      <c r="J166" s="10">
        <f>IFERROR(INDEX('🏢 Empresas'!$F$3:$F$200,MATCH($F166,'🏢 Empresas'!$B$3:$B$200,0)),"")</f>
      </c>
      <c r="K166" s="9"/>
      <c r="L166" s="10">
        <f>IFERROR(INDEX('👥 Estudiantes'!$G$3:$G$200,MATCH($C166,'👥 Estudiantes'!$C$3:$C$200,0)),"")</f>
      </c>
      <c r="M166" s="10">
        <f>IFERROR(INDEX('👥 Estudiantes'!$H$3:$H$200,MATCH($C166,'👥 Estudiantes'!$C$3:$C$200,0)),"")</f>
      </c>
      <c r="N166" s="10">
        <f>IFERROR(INDEX('👥 Estudiantes'!$I$3:$I$200,MATCH($C166,'👥 Estudiantes'!$C$3:$C$200,0)),"")</f>
      </c>
      <c r="O166" s="10">
        <f>IFERROR(INDEX('👥 Estudiantes'!$J$3:$J$200,MATCH($C166,'👥 Estudiantes'!$C$3:$C$200,0)),"")</f>
      </c>
      <c r="P166" s="9"/>
    </row>
    <row r="167" spans="1:16" x14ac:dyDescent="0.25">
      <c r="A167">
        <f>IF($C167="","",ROW()-2)</f>
      </c>
      <c r="B167" s="8">
        <f>IFERROR(INDEX('👥 Estudiantes'!$B$3:$B$200,MATCH($C167,'👥 Estudiantes'!$C$3:$C$200,0)),"")</f>
      </c>
      <c r="C167" s="9"/>
      <c r="D167" s="10">
        <f>IFERROR(INDEX('👥 Estudiantes'!$D$3:$D$200,MATCH($C167,'👥 Estudiantes'!$C$3:$C$200,0)),"")</f>
      </c>
      <c r="E167" s="10">
        <f>IFERROR(INDEX('👥 Estudiantes'!$E$3:$E$200,MATCH($C167,'👥 Estudiantes'!$C$3:$C$200,0)),"")</f>
      </c>
      <c r="F167" s="9"/>
      <c r="G167" s="10">
        <f>IFERROR(INDEX('🏢 Empresas'!$C$3:$C$200,MATCH($F167,'🏢 Empresas'!$B$3:$B$200,0)),"")</f>
      </c>
      <c r="H167" s="10">
        <f>IFERROR(INDEX('🏢 Empresas'!$D$3:$D$200,MATCH($F167,'🏢 Empresas'!$B$3:$B$200,0)),"")</f>
      </c>
      <c r="I167" s="10">
        <f>IFERROR(INDEX('🏢 Empresas'!$E$3:$E$200,MATCH($F167,'🏢 Empresas'!$B$3:$B$200,0)),"")</f>
      </c>
      <c r="J167" s="10">
        <f>IFERROR(INDEX('🏢 Empresas'!$F$3:$F$200,MATCH($F167,'🏢 Empresas'!$B$3:$B$200,0)),"")</f>
      </c>
      <c r="K167" s="9"/>
      <c r="L167" s="10">
        <f>IFERROR(INDEX('👥 Estudiantes'!$G$3:$G$200,MATCH($C167,'👥 Estudiantes'!$C$3:$C$200,0)),"")</f>
      </c>
      <c r="M167" s="10">
        <f>IFERROR(INDEX('👥 Estudiantes'!$H$3:$H$200,MATCH($C167,'👥 Estudiantes'!$C$3:$C$200,0)),"")</f>
      </c>
      <c r="N167" s="10">
        <f>IFERROR(INDEX('👥 Estudiantes'!$I$3:$I$200,MATCH($C167,'👥 Estudiantes'!$C$3:$C$200,0)),"")</f>
      </c>
      <c r="O167" s="10">
        <f>IFERROR(INDEX('👥 Estudiantes'!$J$3:$J$200,MATCH($C167,'👥 Estudiantes'!$C$3:$C$200,0)),"")</f>
      </c>
      <c r="P167" s="9"/>
    </row>
    <row r="168" spans="1:16" x14ac:dyDescent="0.25">
      <c r="A168">
        <f>IF($C168="","",ROW()-2)</f>
      </c>
      <c r="B168" s="8">
        <f>IFERROR(INDEX('👥 Estudiantes'!$B$3:$B$200,MATCH($C168,'👥 Estudiantes'!$C$3:$C$200,0)),"")</f>
      </c>
      <c r="C168" s="9"/>
      <c r="D168" s="10">
        <f>IFERROR(INDEX('👥 Estudiantes'!$D$3:$D$200,MATCH($C168,'👥 Estudiantes'!$C$3:$C$200,0)),"")</f>
      </c>
      <c r="E168" s="10">
        <f>IFERROR(INDEX('👥 Estudiantes'!$E$3:$E$200,MATCH($C168,'👥 Estudiantes'!$C$3:$C$200,0)),"")</f>
      </c>
      <c r="F168" s="9"/>
      <c r="G168" s="10">
        <f>IFERROR(INDEX('🏢 Empresas'!$C$3:$C$200,MATCH($F168,'🏢 Empresas'!$B$3:$B$200,0)),"")</f>
      </c>
      <c r="H168" s="10">
        <f>IFERROR(INDEX('🏢 Empresas'!$D$3:$D$200,MATCH($F168,'🏢 Empresas'!$B$3:$B$200,0)),"")</f>
      </c>
      <c r="I168" s="10">
        <f>IFERROR(INDEX('🏢 Empresas'!$E$3:$E$200,MATCH($F168,'🏢 Empresas'!$B$3:$B$200,0)),"")</f>
      </c>
      <c r="J168" s="10">
        <f>IFERROR(INDEX('🏢 Empresas'!$F$3:$F$200,MATCH($F168,'🏢 Empresas'!$B$3:$B$200,0)),"")</f>
      </c>
      <c r="K168" s="9"/>
      <c r="L168" s="10">
        <f>IFERROR(INDEX('👥 Estudiantes'!$G$3:$G$200,MATCH($C168,'👥 Estudiantes'!$C$3:$C$200,0)),"")</f>
      </c>
      <c r="M168" s="10">
        <f>IFERROR(INDEX('👥 Estudiantes'!$H$3:$H$200,MATCH($C168,'👥 Estudiantes'!$C$3:$C$200,0)),"")</f>
      </c>
      <c r="N168" s="10">
        <f>IFERROR(INDEX('👥 Estudiantes'!$I$3:$I$200,MATCH($C168,'👥 Estudiantes'!$C$3:$C$200,0)),"")</f>
      </c>
      <c r="O168" s="10">
        <f>IFERROR(INDEX('👥 Estudiantes'!$J$3:$J$200,MATCH($C168,'👥 Estudiantes'!$C$3:$C$200,0)),"")</f>
      </c>
      <c r="P168" s="9"/>
    </row>
    <row r="169" spans="1:16" x14ac:dyDescent="0.25">
      <c r="A169">
        <f>IF($C169="","",ROW()-2)</f>
      </c>
      <c r="B169" s="8">
        <f>IFERROR(INDEX('👥 Estudiantes'!$B$3:$B$200,MATCH($C169,'👥 Estudiantes'!$C$3:$C$200,0)),"")</f>
      </c>
      <c r="C169" s="9"/>
      <c r="D169" s="10">
        <f>IFERROR(INDEX('👥 Estudiantes'!$D$3:$D$200,MATCH($C169,'👥 Estudiantes'!$C$3:$C$200,0)),"")</f>
      </c>
      <c r="E169" s="10">
        <f>IFERROR(INDEX('👥 Estudiantes'!$E$3:$E$200,MATCH($C169,'👥 Estudiantes'!$C$3:$C$200,0)),"")</f>
      </c>
      <c r="F169" s="9"/>
      <c r="G169" s="10">
        <f>IFERROR(INDEX('🏢 Empresas'!$C$3:$C$200,MATCH($F169,'🏢 Empresas'!$B$3:$B$200,0)),"")</f>
      </c>
      <c r="H169" s="10">
        <f>IFERROR(INDEX('🏢 Empresas'!$D$3:$D$200,MATCH($F169,'🏢 Empresas'!$B$3:$B$200,0)),"")</f>
      </c>
      <c r="I169" s="10">
        <f>IFERROR(INDEX('🏢 Empresas'!$E$3:$E$200,MATCH($F169,'🏢 Empresas'!$B$3:$B$200,0)),"")</f>
      </c>
      <c r="J169" s="10">
        <f>IFERROR(INDEX('🏢 Empresas'!$F$3:$F$200,MATCH($F169,'🏢 Empresas'!$B$3:$B$200,0)),"")</f>
      </c>
      <c r="K169" s="9"/>
      <c r="L169" s="10">
        <f>IFERROR(INDEX('👥 Estudiantes'!$G$3:$G$200,MATCH($C169,'👥 Estudiantes'!$C$3:$C$200,0)),"")</f>
      </c>
      <c r="M169" s="10">
        <f>IFERROR(INDEX('👥 Estudiantes'!$H$3:$H$200,MATCH($C169,'👥 Estudiantes'!$C$3:$C$200,0)),"")</f>
      </c>
      <c r="N169" s="10">
        <f>IFERROR(INDEX('👥 Estudiantes'!$I$3:$I$200,MATCH($C169,'👥 Estudiantes'!$C$3:$C$200,0)),"")</f>
      </c>
      <c r="O169" s="10">
        <f>IFERROR(INDEX('👥 Estudiantes'!$J$3:$J$200,MATCH($C169,'👥 Estudiantes'!$C$3:$C$200,0)),"")</f>
      </c>
      <c r="P169" s="9"/>
    </row>
    <row r="170" spans="1:16" x14ac:dyDescent="0.25">
      <c r="A170">
        <f>IF($C170="","",ROW()-2)</f>
      </c>
      <c r="B170" s="8">
        <f>IFERROR(INDEX('👥 Estudiantes'!$B$3:$B$200,MATCH($C170,'👥 Estudiantes'!$C$3:$C$200,0)),"")</f>
      </c>
      <c r="C170" s="9"/>
      <c r="D170" s="10">
        <f>IFERROR(INDEX('👥 Estudiantes'!$D$3:$D$200,MATCH($C170,'👥 Estudiantes'!$C$3:$C$200,0)),"")</f>
      </c>
      <c r="E170" s="10">
        <f>IFERROR(INDEX('👥 Estudiantes'!$E$3:$E$200,MATCH($C170,'👥 Estudiantes'!$C$3:$C$200,0)),"")</f>
      </c>
      <c r="F170" s="9"/>
      <c r="G170" s="10">
        <f>IFERROR(INDEX('🏢 Empresas'!$C$3:$C$200,MATCH($F170,'🏢 Empresas'!$B$3:$B$200,0)),"")</f>
      </c>
      <c r="H170" s="10">
        <f>IFERROR(INDEX('🏢 Empresas'!$D$3:$D$200,MATCH($F170,'🏢 Empresas'!$B$3:$B$200,0)),"")</f>
      </c>
      <c r="I170" s="10">
        <f>IFERROR(INDEX('🏢 Empresas'!$E$3:$E$200,MATCH($F170,'🏢 Empresas'!$B$3:$B$200,0)),"")</f>
      </c>
      <c r="J170" s="10">
        <f>IFERROR(INDEX('🏢 Empresas'!$F$3:$F$200,MATCH($F170,'🏢 Empresas'!$B$3:$B$200,0)),"")</f>
      </c>
      <c r="K170" s="9"/>
      <c r="L170" s="10">
        <f>IFERROR(INDEX('👥 Estudiantes'!$G$3:$G$200,MATCH($C170,'👥 Estudiantes'!$C$3:$C$200,0)),"")</f>
      </c>
      <c r="M170" s="10">
        <f>IFERROR(INDEX('👥 Estudiantes'!$H$3:$H$200,MATCH($C170,'👥 Estudiantes'!$C$3:$C$200,0)),"")</f>
      </c>
      <c r="N170" s="10">
        <f>IFERROR(INDEX('👥 Estudiantes'!$I$3:$I$200,MATCH($C170,'👥 Estudiantes'!$C$3:$C$200,0)),"")</f>
      </c>
      <c r="O170" s="10">
        <f>IFERROR(INDEX('👥 Estudiantes'!$J$3:$J$200,MATCH($C170,'👥 Estudiantes'!$C$3:$C$200,0)),"")</f>
      </c>
      <c r="P170" s="9"/>
    </row>
    <row r="171" spans="1:16" x14ac:dyDescent="0.25">
      <c r="A171">
        <f>IF($C171="","",ROW()-2)</f>
      </c>
      <c r="B171" s="8">
        <f>IFERROR(INDEX('👥 Estudiantes'!$B$3:$B$200,MATCH($C171,'👥 Estudiantes'!$C$3:$C$200,0)),"")</f>
      </c>
      <c r="C171" s="9"/>
      <c r="D171" s="10">
        <f>IFERROR(INDEX('👥 Estudiantes'!$D$3:$D$200,MATCH($C171,'👥 Estudiantes'!$C$3:$C$200,0)),"")</f>
      </c>
      <c r="E171" s="10">
        <f>IFERROR(INDEX('👥 Estudiantes'!$E$3:$E$200,MATCH($C171,'👥 Estudiantes'!$C$3:$C$200,0)),"")</f>
      </c>
      <c r="F171" s="9"/>
      <c r="G171" s="10">
        <f>IFERROR(INDEX('🏢 Empresas'!$C$3:$C$200,MATCH($F171,'🏢 Empresas'!$B$3:$B$200,0)),"")</f>
      </c>
      <c r="H171" s="10">
        <f>IFERROR(INDEX('🏢 Empresas'!$D$3:$D$200,MATCH($F171,'🏢 Empresas'!$B$3:$B$200,0)),"")</f>
      </c>
      <c r="I171" s="10">
        <f>IFERROR(INDEX('🏢 Empresas'!$E$3:$E$200,MATCH($F171,'🏢 Empresas'!$B$3:$B$200,0)),"")</f>
      </c>
      <c r="J171" s="10">
        <f>IFERROR(INDEX('🏢 Empresas'!$F$3:$F$200,MATCH($F171,'🏢 Empresas'!$B$3:$B$200,0)),"")</f>
      </c>
      <c r="K171" s="9"/>
      <c r="L171" s="10">
        <f>IFERROR(INDEX('👥 Estudiantes'!$G$3:$G$200,MATCH($C171,'👥 Estudiantes'!$C$3:$C$200,0)),"")</f>
      </c>
      <c r="M171" s="10">
        <f>IFERROR(INDEX('👥 Estudiantes'!$H$3:$H$200,MATCH($C171,'👥 Estudiantes'!$C$3:$C$200,0)),"")</f>
      </c>
      <c r="N171" s="10">
        <f>IFERROR(INDEX('👥 Estudiantes'!$I$3:$I$200,MATCH($C171,'👥 Estudiantes'!$C$3:$C$200,0)),"")</f>
      </c>
      <c r="O171" s="10">
        <f>IFERROR(INDEX('👥 Estudiantes'!$J$3:$J$200,MATCH($C171,'👥 Estudiantes'!$C$3:$C$200,0)),"")</f>
      </c>
      <c r="P171" s="9"/>
    </row>
    <row r="172" spans="1:16" x14ac:dyDescent="0.25">
      <c r="A172">
        <f>IF($C172="","",ROW()-2)</f>
      </c>
      <c r="B172" s="8">
        <f>IFERROR(INDEX('👥 Estudiantes'!$B$3:$B$200,MATCH($C172,'👥 Estudiantes'!$C$3:$C$200,0)),"")</f>
      </c>
      <c r="C172" s="9"/>
      <c r="D172" s="10">
        <f>IFERROR(INDEX('👥 Estudiantes'!$D$3:$D$200,MATCH($C172,'👥 Estudiantes'!$C$3:$C$200,0)),"")</f>
      </c>
      <c r="E172" s="10">
        <f>IFERROR(INDEX('👥 Estudiantes'!$E$3:$E$200,MATCH($C172,'👥 Estudiantes'!$C$3:$C$200,0)),"")</f>
      </c>
      <c r="F172" s="9"/>
      <c r="G172" s="10">
        <f>IFERROR(INDEX('🏢 Empresas'!$C$3:$C$200,MATCH($F172,'🏢 Empresas'!$B$3:$B$200,0)),"")</f>
      </c>
      <c r="H172" s="10">
        <f>IFERROR(INDEX('🏢 Empresas'!$D$3:$D$200,MATCH($F172,'🏢 Empresas'!$B$3:$B$200,0)),"")</f>
      </c>
      <c r="I172" s="10">
        <f>IFERROR(INDEX('🏢 Empresas'!$E$3:$E$200,MATCH($F172,'🏢 Empresas'!$B$3:$B$200,0)),"")</f>
      </c>
      <c r="J172" s="10">
        <f>IFERROR(INDEX('🏢 Empresas'!$F$3:$F$200,MATCH($F172,'🏢 Empresas'!$B$3:$B$200,0)),"")</f>
      </c>
      <c r="K172" s="9"/>
      <c r="L172" s="10">
        <f>IFERROR(INDEX('👥 Estudiantes'!$G$3:$G$200,MATCH($C172,'👥 Estudiantes'!$C$3:$C$200,0)),"")</f>
      </c>
      <c r="M172" s="10">
        <f>IFERROR(INDEX('👥 Estudiantes'!$H$3:$H$200,MATCH($C172,'👥 Estudiantes'!$C$3:$C$200,0)),"")</f>
      </c>
      <c r="N172" s="10">
        <f>IFERROR(INDEX('👥 Estudiantes'!$I$3:$I$200,MATCH($C172,'👥 Estudiantes'!$C$3:$C$200,0)),"")</f>
      </c>
      <c r="O172" s="10">
        <f>IFERROR(INDEX('👥 Estudiantes'!$J$3:$J$200,MATCH($C172,'👥 Estudiantes'!$C$3:$C$200,0)),"")</f>
      </c>
      <c r="P172" s="9"/>
    </row>
    <row r="173" spans="1:16" x14ac:dyDescent="0.25">
      <c r="A173">
        <f>IF($C173="","",ROW()-2)</f>
      </c>
      <c r="B173" s="8">
        <f>IFERROR(INDEX('👥 Estudiantes'!$B$3:$B$200,MATCH($C173,'👥 Estudiantes'!$C$3:$C$200,0)),"")</f>
      </c>
      <c r="C173" s="9"/>
      <c r="D173" s="10">
        <f>IFERROR(INDEX('👥 Estudiantes'!$D$3:$D$200,MATCH($C173,'👥 Estudiantes'!$C$3:$C$200,0)),"")</f>
      </c>
      <c r="E173" s="10">
        <f>IFERROR(INDEX('👥 Estudiantes'!$E$3:$E$200,MATCH($C173,'👥 Estudiantes'!$C$3:$C$200,0)),"")</f>
      </c>
      <c r="F173" s="9"/>
      <c r="G173" s="10">
        <f>IFERROR(INDEX('🏢 Empresas'!$C$3:$C$200,MATCH($F173,'🏢 Empresas'!$B$3:$B$200,0)),"")</f>
      </c>
      <c r="H173" s="10">
        <f>IFERROR(INDEX('🏢 Empresas'!$D$3:$D$200,MATCH($F173,'🏢 Empresas'!$B$3:$B$200,0)),"")</f>
      </c>
      <c r="I173" s="10">
        <f>IFERROR(INDEX('🏢 Empresas'!$E$3:$E$200,MATCH($F173,'🏢 Empresas'!$B$3:$B$200,0)),"")</f>
      </c>
      <c r="J173" s="10">
        <f>IFERROR(INDEX('🏢 Empresas'!$F$3:$F$200,MATCH($F173,'🏢 Empresas'!$B$3:$B$200,0)),"")</f>
      </c>
      <c r="K173" s="9"/>
      <c r="L173" s="10">
        <f>IFERROR(INDEX('👥 Estudiantes'!$G$3:$G$200,MATCH($C173,'👥 Estudiantes'!$C$3:$C$200,0)),"")</f>
      </c>
      <c r="M173" s="10">
        <f>IFERROR(INDEX('👥 Estudiantes'!$H$3:$H$200,MATCH($C173,'👥 Estudiantes'!$C$3:$C$200,0)),"")</f>
      </c>
      <c r="N173" s="10">
        <f>IFERROR(INDEX('👥 Estudiantes'!$I$3:$I$200,MATCH($C173,'👥 Estudiantes'!$C$3:$C$200,0)),"")</f>
      </c>
      <c r="O173" s="10">
        <f>IFERROR(INDEX('👥 Estudiantes'!$J$3:$J$200,MATCH($C173,'👥 Estudiantes'!$C$3:$C$200,0)),"")</f>
      </c>
      <c r="P173" s="9"/>
    </row>
    <row r="174" spans="1:16" x14ac:dyDescent="0.25">
      <c r="A174">
        <f>IF($C174="","",ROW()-2)</f>
      </c>
      <c r="B174" s="8">
        <f>IFERROR(INDEX('👥 Estudiantes'!$B$3:$B$200,MATCH($C174,'👥 Estudiantes'!$C$3:$C$200,0)),"")</f>
      </c>
      <c r="C174" s="9"/>
      <c r="D174" s="10">
        <f>IFERROR(INDEX('👥 Estudiantes'!$D$3:$D$200,MATCH($C174,'👥 Estudiantes'!$C$3:$C$200,0)),"")</f>
      </c>
      <c r="E174" s="10">
        <f>IFERROR(INDEX('👥 Estudiantes'!$E$3:$E$200,MATCH($C174,'👥 Estudiantes'!$C$3:$C$200,0)),"")</f>
      </c>
      <c r="F174" s="9"/>
      <c r="G174" s="10">
        <f>IFERROR(INDEX('🏢 Empresas'!$C$3:$C$200,MATCH($F174,'🏢 Empresas'!$B$3:$B$200,0)),"")</f>
      </c>
      <c r="H174" s="10">
        <f>IFERROR(INDEX('🏢 Empresas'!$D$3:$D$200,MATCH($F174,'🏢 Empresas'!$B$3:$B$200,0)),"")</f>
      </c>
      <c r="I174" s="10">
        <f>IFERROR(INDEX('🏢 Empresas'!$E$3:$E$200,MATCH($F174,'🏢 Empresas'!$B$3:$B$200,0)),"")</f>
      </c>
      <c r="J174" s="10">
        <f>IFERROR(INDEX('🏢 Empresas'!$F$3:$F$200,MATCH($F174,'🏢 Empresas'!$B$3:$B$200,0)),"")</f>
      </c>
      <c r="K174" s="9"/>
      <c r="L174" s="10">
        <f>IFERROR(INDEX('👥 Estudiantes'!$G$3:$G$200,MATCH($C174,'👥 Estudiantes'!$C$3:$C$200,0)),"")</f>
      </c>
      <c r="M174" s="10">
        <f>IFERROR(INDEX('👥 Estudiantes'!$H$3:$H$200,MATCH($C174,'👥 Estudiantes'!$C$3:$C$200,0)),"")</f>
      </c>
      <c r="N174" s="10">
        <f>IFERROR(INDEX('👥 Estudiantes'!$I$3:$I$200,MATCH($C174,'👥 Estudiantes'!$C$3:$C$200,0)),"")</f>
      </c>
      <c r="O174" s="10">
        <f>IFERROR(INDEX('👥 Estudiantes'!$J$3:$J$200,MATCH($C174,'👥 Estudiantes'!$C$3:$C$200,0)),"")</f>
      </c>
      <c r="P174" s="9"/>
    </row>
    <row r="175" spans="1:16" x14ac:dyDescent="0.25">
      <c r="A175">
        <f>IF($C175="","",ROW()-2)</f>
      </c>
      <c r="B175" s="8">
        <f>IFERROR(INDEX('👥 Estudiantes'!$B$3:$B$200,MATCH($C175,'👥 Estudiantes'!$C$3:$C$200,0)),"")</f>
      </c>
      <c r="C175" s="9"/>
      <c r="D175" s="10">
        <f>IFERROR(INDEX('👥 Estudiantes'!$D$3:$D$200,MATCH($C175,'👥 Estudiantes'!$C$3:$C$200,0)),"")</f>
      </c>
      <c r="E175" s="10">
        <f>IFERROR(INDEX('👥 Estudiantes'!$E$3:$E$200,MATCH($C175,'👥 Estudiantes'!$C$3:$C$200,0)),"")</f>
      </c>
      <c r="F175" s="9"/>
      <c r="G175" s="10">
        <f>IFERROR(INDEX('🏢 Empresas'!$C$3:$C$200,MATCH($F175,'🏢 Empresas'!$B$3:$B$200,0)),"")</f>
      </c>
      <c r="H175" s="10">
        <f>IFERROR(INDEX('🏢 Empresas'!$D$3:$D$200,MATCH($F175,'🏢 Empresas'!$B$3:$B$200,0)),"")</f>
      </c>
      <c r="I175" s="10">
        <f>IFERROR(INDEX('🏢 Empresas'!$E$3:$E$200,MATCH($F175,'🏢 Empresas'!$B$3:$B$200,0)),"")</f>
      </c>
      <c r="J175" s="10">
        <f>IFERROR(INDEX('🏢 Empresas'!$F$3:$F$200,MATCH($F175,'🏢 Empresas'!$B$3:$B$200,0)),"")</f>
      </c>
      <c r="K175" s="9"/>
      <c r="L175" s="10">
        <f>IFERROR(INDEX('👥 Estudiantes'!$G$3:$G$200,MATCH($C175,'👥 Estudiantes'!$C$3:$C$200,0)),"")</f>
      </c>
      <c r="M175" s="10">
        <f>IFERROR(INDEX('👥 Estudiantes'!$H$3:$H$200,MATCH($C175,'👥 Estudiantes'!$C$3:$C$200,0)),"")</f>
      </c>
      <c r="N175" s="10">
        <f>IFERROR(INDEX('👥 Estudiantes'!$I$3:$I$200,MATCH($C175,'👥 Estudiantes'!$C$3:$C$200,0)),"")</f>
      </c>
      <c r="O175" s="10">
        <f>IFERROR(INDEX('👥 Estudiantes'!$J$3:$J$200,MATCH($C175,'👥 Estudiantes'!$C$3:$C$200,0)),"")</f>
      </c>
      <c r="P175" s="9"/>
    </row>
    <row r="176" spans="1:16" x14ac:dyDescent="0.25">
      <c r="A176">
        <f>IF($C176="","",ROW()-2)</f>
      </c>
      <c r="B176" s="8">
        <f>IFERROR(INDEX('👥 Estudiantes'!$B$3:$B$200,MATCH($C176,'👥 Estudiantes'!$C$3:$C$200,0)),"")</f>
      </c>
      <c r="C176" s="9"/>
      <c r="D176" s="10">
        <f>IFERROR(INDEX('👥 Estudiantes'!$D$3:$D$200,MATCH($C176,'👥 Estudiantes'!$C$3:$C$200,0)),"")</f>
      </c>
      <c r="E176" s="10">
        <f>IFERROR(INDEX('👥 Estudiantes'!$E$3:$E$200,MATCH($C176,'👥 Estudiantes'!$C$3:$C$200,0)),"")</f>
      </c>
      <c r="F176" s="9"/>
      <c r="G176" s="10">
        <f>IFERROR(INDEX('🏢 Empresas'!$C$3:$C$200,MATCH($F176,'🏢 Empresas'!$B$3:$B$200,0)),"")</f>
      </c>
      <c r="H176" s="10">
        <f>IFERROR(INDEX('🏢 Empresas'!$D$3:$D$200,MATCH($F176,'🏢 Empresas'!$B$3:$B$200,0)),"")</f>
      </c>
      <c r="I176" s="10">
        <f>IFERROR(INDEX('🏢 Empresas'!$E$3:$E$200,MATCH($F176,'🏢 Empresas'!$B$3:$B$200,0)),"")</f>
      </c>
      <c r="J176" s="10">
        <f>IFERROR(INDEX('🏢 Empresas'!$F$3:$F$200,MATCH($F176,'🏢 Empresas'!$B$3:$B$200,0)),"")</f>
      </c>
      <c r="K176" s="9"/>
      <c r="L176" s="10">
        <f>IFERROR(INDEX('👥 Estudiantes'!$G$3:$G$200,MATCH($C176,'👥 Estudiantes'!$C$3:$C$200,0)),"")</f>
      </c>
      <c r="M176" s="10">
        <f>IFERROR(INDEX('👥 Estudiantes'!$H$3:$H$200,MATCH($C176,'👥 Estudiantes'!$C$3:$C$200,0)),"")</f>
      </c>
      <c r="N176" s="10">
        <f>IFERROR(INDEX('👥 Estudiantes'!$I$3:$I$200,MATCH($C176,'👥 Estudiantes'!$C$3:$C$200,0)),"")</f>
      </c>
      <c r="O176" s="10">
        <f>IFERROR(INDEX('👥 Estudiantes'!$J$3:$J$200,MATCH($C176,'👥 Estudiantes'!$C$3:$C$200,0)),"")</f>
      </c>
      <c r="P176" s="9"/>
    </row>
    <row r="177" spans="1:16" x14ac:dyDescent="0.25">
      <c r="A177">
        <f>IF($C177="","",ROW()-2)</f>
      </c>
      <c r="B177" s="8">
        <f>IFERROR(INDEX('👥 Estudiantes'!$B$3:$B$200,MATCH($C177,'👥 Estudiantes'!$C$3:$C$200,0)),"")</f>
      </c>
      <c r="C177" s="9"/>
      <c r="D177" s="10">
        <f>IFERROR(INDEX('👥 Estudiantes'!$D$3:$D$200,MATCH($C177,'👥 Estudiantes'!$C$3:$C$200,0)),"")</f>
      </c>
      <c r="E177" s="10">
        <f>IFERROR(INDEX('👥 Estudiantes'!$E$3:$E$200,MATCH($C177,'👥 Estudiantes'!$C$3:$C$200,0)),"")</f>
      </c>
      <c r="F177" s="9"/>
      <c r="G177" s="10">
        <f>IFERROR(INDEX('🏢 Empresas'!$C$3:$C$200,MATCH($F177,'🏢 Empresas'!$B$3:$B$200,0)),"")</f>
      </c>
      <c r="H177" s="10">
        <f>IFERROR(INDEX('🏢 Empresas'!$D$3:$D$200,MATCH($F177,'🏢 Empresas'!$B$3:$B$200,0)),"")</f>
      </c>
      <c r="I177" s="10">
        <f>IFERROR(INDEX('🏢 Empresas'!$E$3:$E$200,MATCH($F177,'🏢 Empresas'!$B$3:$B$200,0)),"")</f>
      </c>
      <c r="J177" s="10">
        <f>IFERROR(INDEX('🏢 Empresas'!$F$3:$F$200,MATCH($F177,'🏢 Empresas'!$B$3:$B$200,0)),"")</f>
      </c>
      <c r="K177" s="9"/>
      <c r="L177" s="10">
        <f>IFERROR(INDEX('👥 Estudiantes'!$G$3:$G$200,MATCH($C177,'👥 Estudiantes'!$C$3:$C$200,0)),"")</f>
      </c>
      <c r="M177" s="10">
        <f>IFERROR(INDEX('👥 Estudiantes'!$H$3:$H$200,MATCH($C177,'👥 Estudiantes'!$C$3:$C$200,0)),"")</f>
      </c>
      <c r="N177" s="10">
        <f>IFERROR(INDEX('👥 Estudiantes'!$I$3:$I$200,MATCH($C177,'👥 Estudiantes'!$C$3:$C$200,0)),"")</f>
      </c>
      <c r="O177" s="10">
        <f>IFERROR(INDEX('👥 Estudiantes'!$J$3:$J$200,MATCH($C177,'👥 Estudiantes'!$C$3:$C$200,0)),"")</f>
      </c>
      <c r="P177" s="9"/>
    </row>
    <row r="178" spans="1:16" x14ac:dyDescent="0.25">
      <c r="A178">
        <f>IF($C178="","",ROW()-2)</f>
      </c>
      <c r="B178" s="8">
        <f>IFERROR(INDEX('👥 Estudiantes'!$B$3:$B$200,MATCH($C178,'👥 Estudiantes'!$C$3:$C$200,0)),"")</f>
      </c>
      <c r="C178" s="9"/>
      <c r="D178" s="10">
        <f>IFERROR(INDEX('👥 Estudiantes'!$D$3:$D$200,MATCH($C178,'👥 Estudiantes'!$C$3:$C$200,0)),"")</f>
      </c>
      <c r="E178" s="10">
        <f>IFERROR(INDEX('👥 Estudiantes'!$E$3:$E$200,MATCH($C178,'👥 Estudiantes'!$C$3:$C$200,0)),"")</f>
      </c>
      <c r="F178" s="9"/>
      <c r="G178" s="10">
        <f>IFERROR(INDEX('🏢 Empresas'!$C$3:$C$200,MATCH($F178,'🏢 Empresas'!$B$3:$B$200,0)),"")</f>
      </c>
      <c r="H178" s="10">
        <f>IFERROR(INDEX('🏢 Empresas'!$D$3:$D$200,MATCH($F178,'🏢 Empresas'!$B$3:$B$200,0)),"")</f>
      </c>
      <c r="I178" s="10">
        <f>IFERROR(INDEX('🏢 Empresas'!$E$3:$E$200,MATCH($F178,'🏢 Empresas'!$B$3:$B$200,0)),"")</f>
      </c>
      <c r="J178" s="10">
        <f>IFERROR(INDEX('🏢 Empresas'!$F$3:$F$200,MATCH($F178,'🏢 Empresas'!$B$3:$B$200,0)),"")</f>
      </c>
      <c r="K178" s="9"/>
      <c r="L178" s="10">
        <f>IFERROR(INDEX('👥 Estudiantes'!$G$3:$G$200,MATCH($C178,'👥 Estudiantes'!$C$3:$C$200,0)),"")</f>
      </c>
      <c r="M178" s="10">
        <f>IFERROR(INDEX('👥 Estudiantes'!$H$3:$H$200,MATCH($C178,'👥 Estudiantes'!$C$3:$C$200,0)),"")</f>
      </c>
      <c r="N178" s="10">
        <f>IFERROR(INDEX('👥 Estudiantes'!$I$3:$I$200,MATCH($C178,'👥 Estudiantes'!$C$3:$C$200,0)),"")</f>
      </c>
      <c r="O178" s="10">
        <f>IFERROR(INDEX('👥 Estudiantes'!$J$3:$J$200,MATCH($C178,'👥 Estudiantes'!$C$3:$C$200,0)),"")</f>
      </c>
      <c r="P178" s="9"/>
    </row>
    <row r="179" spans="1:16" x14ac:dyDescent="0.25">
      <c r="A179">
        <f>IF($C179="","",ROW()-2)</f>
      </c>
      <c r="B179" s="8">
        <f>IFERROR(INDEX('👥 Estudiantes'!$B$3:$B$200,MATCH($C179,'👥 Estudiantes'!$C$3:$C$200,0)),"")</f>
      </c>
      <c r="C179" s="9"/>
      <c r="D179" s="10">
        <f>IFERROR(INDEX('👥 Estudiantes'!$D$3:$D$200,MATCH($C179,'👥 Estudiantes'!$C$3:$C$200,0)),"")</f>
      </c>
      <c r="E179" s="10">
        <f>IFERROR(INDEX('👥 Estudiantes'!$E$3:$E$200,MATCH($C179,'👥 Estudiantes'!$C$3:$C$200,0)),"")</f>
      </c>
      <c r="F179" s="9"/>
      <c r="G179" s="10">
        <f>IFERROR(INDEX('🏢 Empresas'!$C$3:$C$200,MATCH($F179,'🏢 Empresas'!$B$3:$B$200,0)),"")</f>
      </c>
      <c r="H179" s="10">
        <f>IFERROR(INDEX('🏢 Empresas'!$D$3:$D$200,MATCH($F179,'🏢 Empresas'!$B$3:$B$200,0)),"")</f>
      </c>
      <c r="I179" s="10">
        <f>IFERROR(INDEX('🏢 Empresas'!$E$3:$E$200,MATCH($F179,'🏢 Empresas'!$B$3:$B$200,0)),"")</f>
      </c>
      <c r="J179" s="10">
        <f>IFERROR(INDEX('🏢 Empresas'!$F$3:$F$200,MATCH($F179,'🏢 Empresas'!$B$3:$B$200,0)),"")</f>
      </c>
      <c r="K179" s="9"/>
      <c r="L179" s="10">
        <f>IFERROR(INDEX('👥 Estudiantes'!$G$3:$G$200,MATCH($C179,'👥 Estudiantes'!$C$3:$C$200,0)),"")</f>
      </c>
      <c r="M179" s="10">
        <f>IFERROR(INDEX('👥 Estudiantes'!$H$3:$H$200,MATCH($C179,'👥 Estudiantes'!$C$3:$C$200,0)),"")</f>
      </c>
      <c r="N179" s="10">
        <f>IFERROR(INDEX('👥 Estudiantes'!$I$3:$I$200,MATCH($C179,'👥 Estudiantes'!$C$3:$C$200,0)),"")</f>
      </c>
      <c r="O179" s="10">
        <f>IFERROR(INDEX('👥 Estudiantes'!$J$3:$J$200,MATCH($C179,'👥 Estudiantes'!$C$3:$C$200,0)),"")</f>
      </c>
      <c r="P179" s="9"/>
    </row>
    <row r="180" spans="1:16" x14ac:dyDescent="0.25">
      <c r="A180">
        <f>IF($C180="","",ROW()-2)</f>
      </c>
      <c r="B180" s="8">
        <f>IFERROR(INDEX('👥 Estudiantes'!$B$3:$B$200,MATCH($C180,'👥 Estudiantes'!$C$3:$C$200,0)),"")</f>
      </c>
      <c r="C180" s="9"/>
      <c r="D180" s="10">
        <f>IFERROR(INDEX('👥 Estudiantes'!$D$3:$D$200,MATCH($C180,'👥 Estudiantes'!$C$3:$C$200,0)),"")</f>
      </c>
      <c r="E180" s="10">
        <f>IFERROR(INDEX('👥 Estudiantes'!$E$3:$E$200,MATCH($C180,'👥 Estudiantes'!$C$3:$C$200,0)),"")</f>
      </c>
      <c r="F180" s="9"/>
      <c r="G180" s="10">
        <f>IFERROR(INDEX('🏢 Empresas'!$C$3:$C$200,MATCH($F180,'🏢 Empresas'!$B$3:$B$200,0)),"")</f>
      </c>
      <c r="H180" s="10">
        <f>IFERROR(INDEX('🏢 Empresas'!$D$3:$D$200,MATCH($F180,'🏢 Empresas'!$B$3:$B$200,0)),"")</f>
      </c>
      <c r="I180" s="10">
        <f>IFERROR(INDEX('🏢 Empresas'!$E$3:$E$200,MATCH($F180,'🏢 Empresas'!$B$3:$B$200,0)),"")</f>
      </c>
      <c r="J180" s="10">
        <f>IFERROR(INDEX('🏢 Empresas'!$F$3:$F$200,MATCH($F180,'🏢 Empresas'!$B$3:$B$200,0)),"")</f>
      </c>
      <c r="K180" s="9"/>
      <c r="L180" s="10">
        <f>IFERROR(INDEX('👥 Estudiantes'!$G$3:$G$200,MATCH($C180,'👥 Estudiantes'!$C$3:$C$200,0)),"")</f>
      </c>
      <c r="M180" s="10">
        <f>IFERROR(INDEX('👥 Estudiantes'!$H$3:$H$200,MATCH($C180,'👥 Estudiantes'!$C$3:$C$200,0)),"")</f>
      </c>
      <c r="N180" s="10">
        <f>IFERROR(INDEX('👥 Estudiantes'!$I$3:$I$200,MATCH($C180,'👥 Estudiantes'!$C$3:$C$200,0)),"")</f>
      </c>
      <c r="O180" s="10">
        <f>IFERROR(INDEX('👥 Estudiantes'!$J$3:$J$200,MATCH($C180,'👥 Estudiantes'!$C$3:$C$200,0)),"")</f>
      </c>
      <c r="P180" s="9"/>
    </row>
    <row r="181" spans="1:16" x14ac:dyDescent="0.25">
      <c r="A181">
        <f>IF($C181="","",ROW()-2)</f>
      </c>
      <c r="B181" s="8">
        <f>IFERROR(INDEX('👥 Estudiantes'!$B$3:$B$200,MATCH($C181,'👥 Estudiantes'!$C$3:$C$200,0)),"")</f>
      </c>
      <c r="C181" s="9"/>
      <c r="D181" s="10">
        <f>IFERROR(INDEX('👥 Estudiantes'!$D$3:$D$200,MATCH($C181,'👥 Estudiantes'!$C$3:$C$200,0)),"")</f>
      </c>
      <c r="E181" s="10">
        <f>IFERROR(INDEX('👥 Estudiantes'!$E$3:$E$200,MATCH($C181,'👥 Estudiantes'!$C$3:$C$200,0)),"")</f>
      </c>
      <c r="F181" s="9"/>
      <c r="G181" s="10">
        <f>IFERROR(INDEX('🏢 Empresas'!$C$3:$C$200,MATCH($F181,'🏢 Empresas'!$B$3:$B$200,0)),"")</f>
      </c>
      <c r="H181" s="10">
        <f>IFERROR(INDEX('🏢 Empresas'!$D$3:$D$200,MATCH($F181,'🏢 Empresas'!$B$3:$B$200,0)),"")</f>
      </c>
      <c r="I181" s="10">
        <f>IFERROR(INDEX('🏢 Empresas'!$E$3:$E$200,MATCH($F181,'🏢 Empresas'!$B$3:$B$200,0)),"")</f>
      </c>
      <c r="J181" s="10">
        <f>IFERROR(INDEX('🏢 Empresas'!$F$3:$F$200,MATCH($F181,'🏢 Empresas'!$B$3:$B$200,0)),"")</f>
      </c>
      <c r="K181" s="9"/>
      <c r="L181" s="10">
        <f>IFERROR(INDEX('👥 Estudiantes'!$G$3:$G$200,MATCH($C181,'👥 Estudiantes'!$C$3:$C$200,0)),"")</f>
      </c>
      <c r="M181" s="10">
        <f>IFERROR(INDEX('👥 Estudiantes'!$H$3:$H$200,MATCH($C181,'👥 Estudiantes'!$C$3:$C$200,0)),"")</f>
      </c>
      <c r="N181" s="10">
        <f>IFERROR(INDEX('👥 Estudiantes'!$I$3:$I$200,MATCH($C181,'👥 Estudiantes'!$C$3:$C$200,0)),"")</f>
      </c>
      <c r="O181" s="10">
        <f>IFERROR(INDEX('👥 Estudiantes'!$J$3:$J$200,MATCH($C181,'👥 Estudiantes'!$C$3:$C$200,0)),"")</f>
      </c>
      <c r="P181" s="9"/>
    </row>
    <row r="182" spans="1:16" x14ac:dyDescent="0.25">
      <c r="A182">
        <f>IF($C182="","",ROW()-2)</f>
      </c>
      <c r="B182" s="8">
        <f>IFERROR(INDEX('👥 Estudiantes'!$B$3:$B$200,MATCH($C182,'👥 Estudiantes'!$C$3:$C$200,0)),"")</f>
      </c>
      <c r="C182" s="9"/>
      <c r="D182" s="10">
        <f>IFERROR(INDEX('👥 Estudiantes'!$D$3:$D$200,MATCH($C182,'👥 Estudiantes'!$C$3:$C$200,0)),"")</f>
      </c>
      <c r="E182" s="10">
        <f>IFERROR(INDEX('👥 Estudiantes'!$E$3:$E$200,MATCH($C182,'👥 Estudiantes'!$C$3:$C$200,0)),"")</f>
      </c>
      <c r="F182" s="9"/>
      <c r="G182" s="10">
        <f>IFERROR(INDEX('🏢 Empresas'!$C$3:$C$200,MATCH($F182,'🏢 Empresas'!$B$3:$B$200,0)),"")</f>
      </c>
      <c r="H182" s="10">
        <f>IFERROR(INDEX('🏢 Empresas'!$D$3:$D$200,MATCH($F182,'🏢 Empresas'!$B$3:$B$200,0)),"")</f>
      </c>
      <c r="I182" s="10">
        <f>IFERROR(INDEX('🏢 Empresas'!$E$3:$E$200,MATCH($F182,'🏢 Empresas'!$B$3:$B$200,0)),"")</f>
      </c>
      <c r="J182" s="10">
        <f>IFERROR(INDEX('🏢 Empresas'!$F$3:$F$200,MATCH($F182,'🏢 Empresas'!$B$3:$B$200,0)),"")</f>
      </c>
      <c r="K182" s="9"/>
      <c r="L182" s="10">
        <f>IFERROR(INDEX('👥 Estudiantes'!$G$3:$G$200,MATCH($C182,'👥 Estudiantes'!$C$3:$C$200,0)),"")</f>
      </c>
      <c r="M182" s="10">
        <f>IFERROR(INDEX('👥 Estudiantes'!$H$3:$H$200,MATCH($C182,'👥 Estudiantes'!$C$3:$C$200,0)),"")</f>
      </c>
      <c r="N182" s="10">
        <f>IFERROR(INDEX('👥 Estudiantes'!$I$3:$I$200,MATCH($C182,'👥 Estudiantes'!$C$3:$C$200,0)),"")</f>
      </c>
      <c r="O182" s="10">
        <f>IFERROR(INDEX('👥 Estudiantes'!$J$3:$J$200,MATCH($C182,'👥 Estudiantes'!$C$3:$C$200,0)),"")</f>
      </c>
      <c r="P182" s="9"/>
    </row>
    <row r="183" spans="1:16" x14ac:dyDescent="0.25">
      <c r="A183">
        <f>IF($C183="","",ROW()-2)</f>
      </c>
      <c r="B183" s="8">
        <f>IFERROR(INDEX('👥 Estudiantes'!$B$3:$B$200,MATCH($C183,'👥 Estudiantes'!$C$3:$C$200,0)),"")</f>
      </c>
      <c r="C183" s="9"/>
      <c r="D183" s="10">
        <f>IFERROR(INDEX('👥 Estudiantes'!$D$3:$D$200,MATCH($C183,'👥 Estudiantes'!$C$3:$C$200,0)),"")</f>
      </c>
      <c r="E183" s="10">
        <f>IFERROR(INDEX('👥 Estudiantes'!$E$3:$E$200,MATCH($C183,'👥 Estudiantes'!$C$3:$C$200,0)),"")</f>
      </c>
      <c r="F183" s="9"/>
      <c r="G183" s="10">
        <f>IFERROR(INDEX('🏢 Empresas'!$C$3:$C$200,MATCH($F183,'🏢 Empresas'!$B$3:$B$200,0)),"")</f>
      </c>
      <c r="H183" s="10">
        <f>IFERROR(INDEX('🏢 Empresas'!$D$3:$D$200,MATCH($F183,'🏢 Empresas'!$B$3:$B$200,0)),"")</f>
      </c>
      <c r="I183" s="10">
        <f>IFERROR(INDEX('🏢 Empresas'!$E$3:$E$200,MATCH($F183,'🏢 Empresas'!$B$3:$B$200,0)),"")</f>
      </c>
      <c r="J183" s="10">
        <f>IFERROR(INDEX('🏢 Empresas'!$F$3:$F$200,MATCH($F183,'🏢 Empresas'!$B$3:$B$200,0)),"")</f>
      </c>
      <c r="K183" s="9"/>
      <c r="L183" s="10">
        <f>IFERROR(INDEX('👥 Estudiantes'!$G$3:$G$200,MATCH($C183,'👥 Estudiantes'!$C$3:$C$200,0)),"")</f>
      </c>
      <c r="M183" s="10">
        <f>IFERROR(INDEX('👥 Estudiantes'!$H$3:$H$200,MATCH($C183,'👥 Estudiantes'!$C$3:$C$200,0)),"")</f>
      </c>
      <c r="N183" s="10">
        <f>IFERROR(INDEX('👥 Estudiantes'!$I$3:$I$200,MATCH($C183,'👥 Estudiantes'!$C$3:$C$200,0)),"")</f>
      </c>
      <c r="O183" s="10">
        <f>IFERROR(INDEX('👥 Estudiantes'!$J$3:$J$200,MATCH($C183,'👥 Estudiantes'!$C$3:$C$200,0)),"")</f>
      </c>
      <c r="P183" s="9"/>
    </row>
    <row r="184" spans="1:16" x14ac:dyDescent="0.25">
      <c r="A184">
        <f>IF($C184="","",ROW()-2)</f>
      </c>
      <c r="B184" s="8">
        <f>IFERROR(INDEX('👥 Estudiantes'!$B$3:$B$200,MATCH($C184,'👥 Estudiantes'!$C$3:$C$200,0)),"")</f>
      </c>
      <c r="C184" s="9"/>
      <c r="D184" s="10">
        <f>IFERROR(INDEX('👥 Estudiantes'!$D$3:$D$200,MATCH($C184,'👥 Estudiantes'!$C$3:$C$200,0)),"")</f>
      </c>
      <c r="E184" s="10">
        <f>IFERROR(INDEX('👥 Estudiantes'!$E$3:$E$200,MATCH($C184,'👥 Estudiantes'!$C$3:$C$200,0)),"")</f>
      </c>
      <c r="F184" s="9"/>
      <c r="G184" s="10">
        <f>IFERROR(INDEX('🏢 Empresas'!$C$3:$C$200,MATCH($F184,'🏢 Empresas'!$B$3:$B$200,0)),"")</f>
      </c>
      <c r="H184" s="10">
        <f>IFERROR(INDEX('🏢 Empresas'!$D$3:$D$200,MATCH($F184,'🏢 Empresas'!$B$3:$B$200,0)),"")</f>
      </c>
      <c r="I184" s="10">
        <f>IFERROR(INDEX('🏢 Empresas'!$E$3:$E$200,MATCH($F184,'🏢 Empresas'!$B$3:$B$200,0)),"")</f>
      </c>
      <c r="J184" s="10">
        <f>IFERROR(INDEX('🏢 Empresas'!$F$3:$F$200,MATCH($F184,'🏢 Empresas'!$B$3:$B$200,0)),"")</f>
      </c>
      <c r="K184" s="9"/>
      <c r="L184" s="10">
        <f>IFERROR(INDEX('👥 Estudiantes'!$G$3:$G$200,MATCH($C184,'👥 Estudiantes'!$C$3:$C$200,0)),"")</f>
      </c>
      <c r="M184" s="10">
        <f>IFERROR(INDEX('👥 Estudiantes'!$H$3:$H$200,MATCH($C184,'👥 Estudiantes'!$C$3:$C$200,0)),"")</f>
      </c>
      <c r="N184" s="10">
        <f>IFERROR(INDEX('👥 Estudiantes'!$I$3:$I$200,MATCH($C184,'👥 Estudiantes'!$C$3:$C$200,0)),"")</f>
      </c>
      <c r="O184" s="10">
        <f>IFERROR(INDEX('👥 Estudiantes'!$J$3:$J$200,MATCH($C184,'👥 Estudiantes'!$C$3:$C$200,0)),"")</f>
      </c>
      <c r="P184" s="9"/>
    </row>
    <row r="185" spans="1:16" x14ac:dyDescent="0.25">
      <c r="A185">
        <f>IF($C185="","",ROW()-2)</f>
      </c>
      <c r="B185" s="8">
        <f>IFERROR(INDEX('👥 Estudiantes'!$B$3:$B$200,MATCH($C185,'👥 Estudiantes'!$C$3:$C$200,0)),"")</f>
      </c>
      <c r="C185" s="9"/>
      <c r="D185" s="10">
        <f>IFERROR(INDEX('👥 Estudiantes'!$D$3:$D$200,MATCH($C185,'👥 Estudiantes'!$C$3:$C$200,0)),"")</f>
      </c>
      <c r="E185" s="10">
        <f>IFERROR(INDEX('👥 Estudiantes'!$E$3:$E$200,MATCH($C185,'👥 Estudiantes'!$C$3:$C$200,0)),"")</f>
      </c>
      <c r="F185" s="9"/>
      <c r="G185" s="10">
        <f>IFERROR(INDEX('🏢 Empresas'!$C$3:$C$200,MATCH($F185,'🏢 Empresas'!$B$3:$B$200,0)),"")</f>
      </c>
      <c r="H185" s="10">
        <f>IFERROR(INDEX('🏢 Empresas'!$D$3:$D$200,MATCH($F185,'🏢 Empresas'!$B$3:$B$200,0)),"")</f>
      </c>
      <c r="I185" s="10">
        <f>IFERROR(INDEX('🏢 Empresas'!$E$3:$E$200,MATCH($F185,'🏢 Empresas'!$B$3:$B$200,0)),"")</f>
      </c>
      <c r="J185" s="10">
        <f>IFERROR(INDEX('🏢 Empresas'!$F$3:$F$200,MATCH($F185,'🏢 Empresas'!$B$3:$B$200,0)),"")</f>
      </c>
      <c r="K185" s="9"/>
      <c r="L185" s="10">
        <f>IFERROR(INDEX('👥 Estudiantes'!$G$3:$G$200,MATCH($C185,'👥 Estudiantes'!$C$3:$C$200,0)),"")</f>
      </c>
      <c r="M185" s="10">
        <f>IFERROR(INDEX('👥 Estudiantes'!$H$3:$H$200,MATCH($C185,'👥 Estudiantes'!$C$3:$C$200,0)),"")</f>
      </c>
      <c r="N185" s="10">
        <f>IFERROR(INDEX('👥 Estudiantes'!$I$3:$I$200,MATCH($C185,'👥 Estudiantes'!$C$3:$C$200,0)),"")</f>
      </c>
      <c r="O185" s="10">
        <f>IFERROR(INDEX('👥 Estudiantes'!$J$3:$J$200,MATCH($C185,'👥 Estudiantes'!$C$3:$C$200,0)),"")</f>
      </c>
      <c r="P185" s="9"/>
    </row>
    <row r="186" spans="1:16" x14ac:dyDescent="0.25">
      <c r="A186">
        <f>IF($C186="","",ROW()-2)</f>
      </c>
      <c r="B186" s="8">
        <f>IFERROR(INDEX('👥 Estudiantes'!$B$3:$B$200,MATCH($C186,'👥 Estudiantes'!$C$3:$C$200,0)),"")</f>
      </c>
      <c r="C186" s="9"/>
      <c r="D186" s="10">
        <f>IFERROR(INDEX('👥 Estudiantes'!$D$3:$D$200,MATCH($C186,'👥 Estudiantes'!$C$3:$C$200,0)),"")</f>
      </c>
      <c r="E186" s="10">
        <f>IFERROR(INDEX('👥 Estudiantes'!$E$3:$E$200,MATCH($C186,'👥 Estudiantes'!$C$3:$C$200,0)),"")</f>
      </c>
      <c r="F186" s="9"/>
      <c r="G186" s="10">
        <f>IFERROR(INDEX('🏢 Empresas'!$C$3:$C$200,MATCH($F186,'🏢 Empresas'!$B$3:$B$200,0)),"")</f>
      </c>
      <c r="H186" s="10">
        <f>IFERROR(INDEX('🏢 Empresas'!$D$3:$D$200,MATCH($F186,'🏢 Empresas'!$B$3:$B$200,0)),"")</f>
      </c>
      <c r="I186" s="10">
        <f>IFERROR(INDEX('🏢 Empresas'!$E$3:$E$200,MATCH($F186,'🏢 Empresas'!$B$3:$B$200,0)),"")</f>
      </c>
      <c r="J186" s="10">
        <f>IFERROR(INDEX('🏢 Empresas'!$F$3:$F$200,MATCH($F186,'🏢 Empresas'!$B$3:$B$200,0)),"")</f>
      </c>
      <c r="K186" s="9"/>
      <c r="L186" s="10">
        <f>IFERROR(INDEX('👥 Estudiantes'!$G$3:$G$200,MATCH($C186,'👥 Estudiantes'!$C$3:$C$200,0)),"")</f>
      </c>
      <c r="M186" s="10">
        <f>IFERROR(INDEX('👥 Estudiantes'!$H$3:$H$200,MATCH($C186,'👥 Estudiantes'!$C$3:$C$200,0)),"")</f>
      </c>
      <c r="N186" s="10">
        <f>IFERROR(INDEX('👥 Estudiantes'!$I$3:$I$200,MATCH($C186,'👥 Estudiantes'!$C$3:$C$200,0)),"")</f>
      </c>
      <c r="O186" s="10">
        <f>IFERROR(INDEX('👥 Estudiantes'!$J$3:$J$200,MATCH($C186,'👥 Estudiantes'!$C$3:$C$200,0)),"")</f>
      </c>
      <c r="P186" s="9"/>
    </row>
    <row r="187" spans="1:16" x14ac:dyDescent="0.25">
      <c r="A187">
        <f>IF($C187="","",ROW()-2)</f>
      </c>
      <c r="B187" s="8">
        <f>IFERROR(INDEX('👥 Estudiantes'!$B$3:$B$200,MATCH($C187,'👥 Estudiantes'!$C$3:$C$200,0)),"")</f>
      </c>
      <c r="C187" s="9"/>
      <c r="D187" s="10">
        <f>IFERROR(INDEX('👥 Estudiantes'!$D$3:$D$200,MATCH($C187,'👥 Estudiantes'!$C$3:$C$200,0)),"")</f>
      </c>
      <c r="E187" s="10">
        <f>IFERROR(INDEX('👥 Estudiantes'!$E$3:$E$200,MATCH($C187,'👥 Estudiantes'!$C$3:$C$200,0)),"")</f>
      </c>
      <c r="F187" s="9"/>
      <c r="G187" s="10">
        <f>IFERROR(INDEX('🏢 Empresas'!$C$3:$C$200,MATCH($F187,'🏢 Empresas'!$B$3:$B$200,0)),"")</f>
      </c>
      <c r="H187" s="10">
        <f>IFERROR(INDEX('🏢 Empresas'!$D$3:$D$200,MATCH($F187,'🏢 Empresas'!$B$3:$B$200,0)),"")</f>
      </c>
      <c r="I187" s="10">
        <f>IFERROR(INDEX('🏢 Empresas'!$E$3:$E$200,MATCH($F187,'🏢 Empresas'!$B$3:$B$200,0)),"")</f>
      </c>
      <c r="J187" s="10">
        <f>IFERROR(INDEX('🏢 Empresas'!$F$3:$F$200,MATCH($F187,'🏢 Empresas'!$B$3:$B$200,0)),"")</f>
      </c>
      <c r="K187" s="9"/>
      <c r="L187" s="10">
        <f>IFERROR(INDEX('👥 Estudiantes'!$G$3:$G$200,MATCH($C187,'👥 Estudiantes'!$C$3:$C$200,0)),"")</f>
      </c>
      <c r="M187" s="10">
        <f>IFERROR(INDEX('👥 Estudiantes'!$H$3:$H$200,MATCH($C187,'👥 Estudiantes'!$C$3:$C$200,0)),"")</f>
      </c>
      <c r="N187" s="10">
        <f>IFERROR(INDEX('👥 Estudiantes'!$I$3:$I$200,MATCH($C187,'👥 Estudiantes'!$C$3:$C$200,0)),"")</f>
      </c>
      <c r="O187" s="10">
        <f>IFERROR(INDEX('👥 Estudiantes'!$J$3:$J$200,MATCH($C187,'👥 Estudiantes'!$C$3:$C$200,0)),"")</f>
      </c>
      <c r="P187" s="9"/>
    </row>
    <row r="188" spans="1:16" x14ac:dyDescent="0.25">
      <c r="A188">
        <f>IF($C188="","",ROW()-2)</f>
      </c>
      <c r="B188" s="8">
        <f>IFERROR(INDEX('👥 Estudiantes'!$B$3:$B$200,MATCH($C188,'👥 Estudiantes'!$C$3:$C$200,0)),"")</f>
      </c>
      <c r="C188" s="9"/>
      <c r="D188" s="10">
        <f>IFERROR(INDEX('👥 Estudiantes'!$D$3:$D$200,MATCH($C188,'👥 Estudiantes'!$C$3:$C$200,0)),"")</f>
      </c>
      <c r="E188" s="10">
        <f>IFERROR(INDEX('👥 Estudiantes'!$E$3:$E$200,MATCH($C188,'👥 Estudiantes'!$C$3:$C$200,0)),"")</f>
      </c>
      <c r="F188" s="9"/>
      <c r="G188" s="10">
        <f>IFERROR(INDEX('🏢 Empresas'!$C$3:$C$200,MATCH($F188,'🏢 Empresas'!$B$3:$B$200,0)),"")</f>
      </c>
      <c r="H188" s="10">
        <f>IFERROR(INDEX('🏢 Empresas'!$D$3:$D$200,MATCH($F188,'🏢 Empresas'!$B$3:$B$200,0)),"")</f>
      </c>
      <c r="I188" s="10">
        <f>IFERROR(INDEX('🏢 Empresas'!$E$3:$E$200,MATCH($F188,'🏢 Empresas'!$B$3:$B$200,0)),"")</f>
      </c>
      <c r="J188" s="10">
        <f>IFERROR(INDEX('🏢 Empresas'!$F$3:$F$200,MATCH($F188,'🏢 Empresas'!$B$3:$B$200,0)),"")</f>
      </c>
      <c r="K188" s="9"/>
      <c r="L188" s="10">
        <f>IFERROR(INDEX('👥 Estudiantes'!$G$3:$G$200,MATCH($C188,'👥 Estudiantes'!$C$3:$C$200,0)),"")</f>
      </c>
      <c r="M188" s="10">
        <f>IFERROR(INDEX('👥 Estudiantes'!$H$3:$H$200,MATCH($C188,'👥 Estudiantes'!$C$3:$C$200,0)),"")</f>
      </c>
      <c r="N188" s="10">
        <f>IFERROR(INDEX('👥 Estudiantes'!$I$3:$I$200,MATCH($C188,'👥 Estudiantes'!$C$3:$C$200,0)),"")</f>
      </c>
      <c r="O188" s="10">
        <f>IFERROR(INDEX('👥 Estudiantes'!$J$3:$J$200,MATCH($C188,'👥 Estudiantes'!$C$3:$C$200,0)),"")</f>
      </c>
      <c r="P188" s="9"/>
    </row>
    <row r="189" spans="1:16" x14ac:dyDescent="0.25">
      <c r="A189">
        <f>IF($C189="","",ROW()-2)</f>
      </c>
      <c r="B189" s="8">
        <f>IFERROR(INDEX('👥 Estudiantes'!$B$3:$B$200,MATCH($C189,'👥 Estudiantes'!$C$3:$C$200,0)),"")</f>
      </c>
      <c r="C189" s="9"/>
      <c r="D189" s="10">
        <f>IFERROR(INDEX('👥 Estudiantes'!$D$3:$D$200,MATCH($C189,'👥 Estudiantes'!$C$3:$C$200,0)),"")</f>
      </c>
      <c r="E189" s="10">
        <f>IFERROR(INDEX('👥 Estudiantes'!$E$3:$E$200,MATCH($C189,'👥 Estudiantes'!$C$3:$C$200,0)),"")</f>
      </c>
      <c r="F189" s="9"/>
      <c r="G189" s="10">
        <f>IFERROR(INDEX('🏢 Empresas'!$C$3:$C$200,MATCH($F189,'🏢 Empresas'!$B$3:$B$200,0)),"")</f>
      </c>
      <c r="H189" s="10">
        <f>IFERROR(INDEX('🏢 Empresas'!$D$3:$D$200,MATCH($F189,'🏢 Empresas'!$B$3:$B$200,0)),"")</f>
      </c>
      <c r="I189" s="10">
        <f>IFERROR(INDEX('🏢 Empresas'!$E$3:$E$200,MATCH($F189,'🏢 Empresas'!$B$3:$B$200,0)),"")</f>
      </c>
      <c r="J189" s="10">
        <f>IFERROR(INDEX('🏢 Empresas'!$F$3:$F$200,MATCH($F189,'🏢 Empresas'!$B$3:$B$200,0)),"")</f>
      </c>
      <c r="K189" s="9"/>
      <c r="L189" s="10">
        <f>IFERROR(INDEX('👥 Estudiantes'!$G$3:$G$200,MATCH($C189,'👥 Estudiantes'!$C$3:$C$200,0)),"")</f>
      </c>
      <c r="M189" s="10">
        <f>IFERROR(INDEX('👥 Estudiantes'!$H$3:$H$200,MATCH($C189,'👥 Estudiantes'!$C$3:$C$200,0)),"")</f>
      </c>
      <c r="N189" s="10">
        <f>IFERROR(INDEX('👥 Estudiantes'!$I$3:$I$200,MATCH($C189,'👥 Estudiantes'!$C$3:$C$200,0)),"")</f>
      </c>
      <c r="O189" s="10">
        <f>IFERROR(INDEX('👥 Estudiantes'!$J$3:$J$200,MATCH($C189,'👥 Estudiantes'!$C$3:$C$200,0)),"")</f>
      </c>
      <c r="P189" s="9"/>
    </row>
    <row r="190" spans="1:16" x14ac:dyDescent="0.25">
      <c r="A190">
        <f>IF($C190="","",ROW()-2)</f>
      </c>
      <c r="B190" s="8">
        <f>IFERROR(INDEX('👥 Estudiantes'!$B$3:$B$200,MATCH($C190,'👥 Estudiantes'!$C$3:$C$200,0)),"")</f>
      </c>
      <c r="C190" s="9"/>
      <c r="D190" s="10">
        <f>IFERROR(INDEX('👥 Estudiantes'!$D$3:$D$200,MATCH($C190,'👥 Estudiantes'!$C$3:$C$200,0)),"")</f>
      </c>
      <c r="E190" s="10">
        <f>IFERROR(INDEX('👥 Estudiantes'!$E$3:$E$200,MATCH($C190,'👥 Estudiantes'!$C$3:$C$200,0)),"")</f>
      </c>
      <c r="F190" s="9"/>
      <c r="G190" s="10">
        <f>IFERROR(INDEX('🏢 Empresas'!$C$3:$C$200,MATCH($F190,'🏢 Empresas'!$B$3:$B$200,0)),"")</f>
      </c>
      <c r="H190" s="10">
        <f>IFERROR(INDEX('🏢 Empresas'!$D$3:$D$200,MATCH($F190,'🏢 Empresas'!$B$3:$B$200,0)),"")</f>
      </c>
      <c r="I190" s="10">
        <f>IFERROR(INDEX('🏢 Empresas'!$E$3:$E$200,MATCH($F190,'🏢 Empresas'!$B$3:$B$200,0)),"")</f>
      </c>
      <c r="J190" s="10">
        <f>IFERROR(INDEX('🏢 Empresas'!$F$3:$F$200,MATCH($F190,'🏢 Empresas'!$B$3:$B$200,0)),"")</f>
      </c>
      <c r="K190" s="9"/>
      <c r="L190" s="10">
        <f>IFERROR(INDEX('👥 Estudiantes'!$G$3:$G$200,MATCH($C190,'👥 Estudiantes'!$C$3:$C$200,0)),"")</f>
      </c>
      <c r="M190" s="10">
        <f>IFERROR(INDEX('👥 Estudiantes'!$H$3:$H$200,MATCH($C190,'👥 Estudiantes'!$C$3:$C$200,0)),"")</f>
      </c>
      <c r="N190" s="10">
        <f>IFERROR(INDEX('👥 Estudiantes'!$I$3:$I$200,MATCH($C190,'👥 Estudiantes'!$C$3:$C$200,0)),"")</f>
      </c>
      <c r="O190" s="10">
        <f>IFERROR(INDEX('👥 Estudiantes'!$J$3:$J$200,MATCH($C190,'👥 Estudiantes'!$C$3:$C$200,0)),"")</f>
      </c>
      <c r="P190" s="9"/>
    </row>
    <row r="191" spans="1:16" x14ac:dyDescent="0.25">
      <c r="A191">
        <f>IF($C191="","",ROW()-2)</f>
      </c>
      <c r="B191" s="8">
        <f>IFERROR(INDEX('👥 Estudiantes'!$B$3:$B$200,MATCH($C191,'👥 Estudiantes'!$C$3:$C$200,0)),"")</f>
      </c>
      <c r="C191" s="9"/>
      <c r="D191" s="10">
        <f>IFERROR(INDEX('👥 Estudiantes'!$D$3:$D$200,MATCH($C191,'👥 Estudiantes'!$C$3:$C$200,0)),"")</f>
      </c>
      <c r="E191" s="10">
        <f>IFERROR(INDEX('👥 Estudiantes'!$E$3:$E$200,MATCH($C191,'👥 Estudiantes'!$C$3:$C$200,0)),"")</f>
      </c>
      <c r="F191" s="9"/>
      <c r="G191" s="10">
        <f>IFERROR(INDEX('🏢 Empresas'!$C$3:$C$200,MATCH($F191,'🏢 Empresas'!$B$3:$B$200,0)),"")</f>
      </c>
      <c r="H191" s="10">
        <f>IFERROR(INDEX('🏢 Empresas'!$D$3:$D$200,MATCH($F191,'🏢 Empresas'!$B$3:$B$200,0)),"")</f>
      </c>
      <c r="I191" s="10">
        <f>IFERROR(INDEX('🏢 Empresas'!$E$3:$E$200,MATCH($F191,'🏢 Empresas'!$B$3:$B$200,0)),"")</f>
      </c>
      <c r="J191" s="10">
        <f>IFERROR(INDEX('🏢 Empresas'!$F$3:$F$200,MATCH($F191,'🏢 Empresas'!$B$3:$B$200,0)),"")</f>
      </c>
      <c r="K191" s="9"/>
      <c r="L191" s="10">
        <f>IFERROR(INDEX('👥 Estudiantes'!$G$3:$G$200,MATCH($C191,'👥 Estudiantes'!$C$3:$C$200,0)),"")</f>
      </c>
      <c r="M191" s="10">
        <f>IFERROR(INDEX('👥 Estudiantes'!$H$3:$H$200,MATCH($C191,'👥 Estudiantes'!$C$3:$C$200,0)),"")</f>
      </c>
      <c r="N191" s="10">
        <f>IFERROR(INDEX('👥 Estudiantes'!$I$3:$I$200,MATCH($C191,'👥 Estudiantes'!$C$3:$C$200,0)),"")</f>
      </c>
      <c r="O191" s="10">
        <f>IFERROR(INDEX('👥 Estudiantes'!$J$3:$J$200,MATCH($C191,'👥 Estudiantes'!$C$3:$C$200,0)),"")</f>
      </c>
      <c r="P191" s="9"/>
    </row>
    <row r="192" spans="1:16" x14ac:dyDescent="0.25">
      <c r="A192">
        <f>IF($C192="","",ROW()-2)</f>
      </c>
      <c r="B192" s="8">
        <f>IFERROR(INDEX('👥 Estudiantes'!$B$3:$B$200,MATCH($C192,'👥 Estudiantes'!$C$3:$C$200,0)),"")</f>
      </c>
      <c r="C192" s="9"/>
      <c r="D192" s="10">
        <f>IFERROR(INDEX('👥 Estudiantes'!$D$3:$D$200,MATCH($C192,'👥 Estudiantes'!$C$3:$C$200,0)),"")</f>
      </c>
      <c r="E192" s="10">
        <f>IFERROR(INDEX('👥 Estudiantes'!$E$3:$E$200,MATCH($C192,'👥 Estudiantes'!$C$3:$C$200,0)),"")</f>
      </c>
      <c r="F192" s="9"/>
      <c r="G192" s="10">
        <f>IFERROR(INDEX('🏢 Empresas'!$C$3:$C$200,MATCH($F192,'🏢 Empresas'!$B$3:$B$200,0)),"")</f>
      </c>
      <c r="H192" s="10">
        <f>IFERROR(INDEX('🏢 Empresas'!$D$3:$D$200,MATCH($F192,'🏢 Empresas'!$B$3:$B$200,0)),"")</f>
      </c>
      <c r="I192" s="10">
        <f>IFERROR(INDEX('🏢 Empresas'!$E$3:$E$200,MATCH($F192,'🏢 Empresas'!$B$3:$B$200,0)),"")</f>
      </c>
      <c r="J192" s="10">
        <f>IFERROR(INDEX('🏢 Empresas'!$F$3:$F$200,MATCH($F192,'🏢 Empresas'!$B$3:$B$200,0)),"")</f>
      </c>
      <c r="K192" s="9"/>
      <c r="L192" s="10">
        <f>IFERROR(INDEX('👥 Estudiantes'!$G$3:$G$200,MATCH($C192,'👥 Estudiantes'!$C$3:$C$200,0)),"")</f>
      </c>
      <c r="M192" s="10">
        <f>IFERROR(INDEX('👥 Estudiantes'!$H$3:$H$200,MATCH($C192,'👥 Estudiantes'!$C$3:$C$200,0)),"")</f>
      </c>
      <c r="N192" s="10">
        <f>IFERROR(INDEX('👥 Estudiantes'!$I$3:$I$200,MATCH($C192,'👥 Estudiantes'!$C$3:$C$200,0)),"")</f>
      </c>
      <c r="O192" s="10">
        <f>IFERROR(INDEX('👥 Estudiantes'!$J$3:$J$200,MATCH($C192,'👥 Estudiantes'!$C$3:$C$200,0)),"")</f>
      </c>
      <c r="P192" s="9"/>
    </row>
    <row r="193" spans="1:16" x14ac:dyDescent="0.25">
      <c r="A193">
        <f>IF($C193="","",ROW()-2)</f>
      </c>
      <c r="B193" s="8">
        <f>IFERROR(INDEX('👥 Estudiantes'!$B$3:$B$200,MATCH($C193,'👥 Estudiantes'!$C$3:$C$200,0)),"")</f>
      </c>
      <c r="C193" s="9"/>
      <c r="D193" s="10">
        <f>IFERROR(INDEX('👥 Estudiantes'!$D$3:$D$200,MATCH($C193,'👥 Estudiantes'!$C$3:$C$200,0)),"")</f>
      </c>
      <c r="E193" s="10">
        <f>IFERROR(INDEX('👥 Estudiantes'!$E$3:$E$200,MATCH($C193,'👥 Estudiantes'!$C$3:$C$200,0)),"")</f>
      </c>
      <c r="F193" s="9"/>
      <c r="G193" s="10">
        <f>IFERROR(INDEX('🏢 Empresas'!$C$3:$C$200,MATCH($F193,'🏢 Empresas'!$B$3:$B$200,0)),"")</f>
      </c>
      <c r="H193" s="10">
        <f>IFERROR(INDEX('🏢 Empresas'!$D$3:$D$200,MATCH($F193,'🏢 Empresas'!$B$3:$B$200,0)),"")</f>
      </c>
      <c r="I193" s="10">
        <f>IFERROR(INDEX('🏢 Empresas'!$E$3:$E$200,MATCH($F193,'🏢 Empresas'!$B$3:$B$200,0)),"")</f>
      </c>
      <c r="J193" s="10">
        <f>IFERROR(INDEX('🏢 Empresas'!$F$3:$F$200,MATCH($F193,'🏢 Empresas'!$B$3:$B$200,0)),"")</f>
      </c>
      <c r="K193" s="9"/>
      <c r="L193" s="10">
        <f>IFERROR(INDEX('👥 Estudiantes'!$G$3:$G$200,MATCH($C193,'👥 Estudiantes'!$C$3:$C$200,0)),"")</f>
      </c>
      <c r="M193" s="10">
        <f>IFERROR(INDEX('👥 Estudiantes'!$H$3:$H$200,MATCH($C193,'👥 Estudiantes'!$C$3:$C$200,0)),"")</f>
      </c>
      <c r="N193" s="10">
        <f>IFERROR(INDEX('👥 Estudiantes'!$I$3:$I$200,MATCH($C193,'👥 Estudiantes'!$C$3:$C$200,0)),"")</f>
      </c>
      <c r="O193" s="10">
        <f>IFERROR(INDEX('👥 Estudiantes'!$J$3:$J$200,MATCH($C193,'👥 Estudiantes'!$C$3:$C$200,0)),"")</f>
      </c>
      <c r="P193" s="9"/>
    </row>
    <row r="194" spans="1:16" x14ac:dyDescent="0.25">
      <c r="A194">
        <f>IF($C194="","",ROW()-2)</f>
      </c>
      <c r="B194" s="8">
        <f>IFERROR(INDEX('👥 Estudiantes'!$B$3:$B$200,MATCH($C194,'👥 Estudiantes'!$C$3:$C$200,0)),"")</f>
      </c>
      <c r="C194" s="9"/>
      <c r="D194" s="10">
        <f>IFERROR(INDEX('👥 Estudiantes'!$D$3:$D$200,MATCH($C194,'👥 Estudiantes'!$C$3:$C$200,0)),"")</f>
      </c>
      <c r="E194" s="10">
        <f>IFERROR(INDEX('👥 Estudiantes'!$E$3:$E$200,MATCH($C194,'👥 Estudiantes'!$C$3:$C$200,0)),"")</f>
      </c>
      <c r="F194" s="9"/>
      <c r="G194" s="10">
        <f>IFERROR(INDEX('🏢 Empresas'!$C$3:$C$200,MATCH($F194,'🏢 Empresas'!$B$3:$B$200,0)),"")</f>
      </c>
      <c r="H194" s="10">
        <f>IFERROR(INDEX('🏢 Empresas'!$D$3:$D$200,MATCH($F194,'🏢 Empresas'!$B$3:$B$200,0)),"")</f>
      </c>
      <c r="I194" s="10">
        <f>IFERROR(INDEX('🏢 Empresas'!$E$3:$E$200,MATCH($F194,'🏢 Empresas'!$B$3:$B$200,0)),"")</f>
      </c>
      <c r="J194" s="10">
        <f>IFERROR(INDEX('🏢 Empresas'!$F$3:$F$200,MATCH($F194,'🏢 Empresas'!$B$3:$B$200,0)),"")</f>
      </c>
      <c r="K194" s="9"/>
      <c r="L194" s="10">
        <f>IFERROR(INDEX('👥 Estudiantes'!$G$3:$G$200,MATCH($C194,'👥 Estudiantes'!$C$3:$C$200,0)),"")</f>
      </c>
      <c r="M194" s="10">
        <f>IFERROR(INDEX('👥 Estudiantes'!$H$3:$H$200,MATCH($C194,'👥 Estudiantes'!$C$3:$C$200,0)),"")</f>
      </c>
      <c r="N194" s="10">
        <f>IFERROR(INDEX('👥 Estudiantes'!$I$3:$I$200,MATCH($C194,'👥 Estudiantes'!$C$3:$C$200,0)),"")</f>
      </c>
      <c r="O194" s="10">
        <f>IFERROR(INDEX('👥 Estudiantes'!$J$3:$J$200,MATCH($C194,'👥 Estudiantes'!$C$3:$C$200,0)),"")</f>
      </c>
      <c r="P194" s="9"/>
    </row>
    <row r="195" spans="1:16" x14ac:dyDescent="0.25">
      <c r="A195">
        <f>IF($C195="","",ROW()-2)</f>
      </c>
      <c r="B195" s="8">
        <f>IFERROR(INDEX('👥 Estudiantes'!$B$3:$B$200,MATCH($C195,'👥 Estudiantes'!$C$3:$C$200,0)),"")</f>
      </c>
      <c r="C195" s="9"/>
      <c r="D195" s="10">
        <f>IFERROR(INDEX('👥 Estudiantes'!$D$3:$D$200,MATCH($C195,'👥 Estudiantes'!$C$3:$C$200,0)),"")</f>
      </c>
      <c r="E195" s="10">
        <f>IFERROR(INDEX('👥 Estudiantes'!$E$3:$E$200,MATCH($C195,'👥 Estudiantes'!$C$3:$C$200,0)),"")</f>
      </c>
      <c r="F195" s="9"/>
      <c r="G195" s="10">
        <f>IFERROR(INDEX('🏢 Empresas'!$C$3:$C$200,MATCH($F195,'🏢 Empresas'!$B$3:$B$200,0)),"")</f>
      </c>
      <c r="H195" s="10">
        <f>IFERROR(INDEX('🏢 Empresas'!$D$3:$D$200,MATCH($F195,'🏢 Empresas'!$B$3:$B$200,0)),"")</f>
      </c>
      <c r="I195" s="10">
        <f>IFERROR(INDEX('🏢 Empresas'!$E$3:$E$200,MATCH($F195,'🏢 Empresas'!$B$3:$B$200,0)),"")</f>
      </c>
      <c r="J195" s="10">
        <f>IFERROR(INDEX('🏢 Empresas'!$F$3:$F$200,MATCH($F195,'🏢 Empresas'!$B$3:$B$200,0)),"")</f>
      </c>
      <c r="K195" s="9"/>
      <c r="L195" s="10">
        <f>IFERROR(INDEX('👥 Estudiantes'!$G$3:$G$200,MATCH($C195,'👥 Estudiantes'!$C$3:$C$200,0)),"")</f>
      </c>
      <c r="M195" s="10">
        <f>IFERROR(INDEX('👥 Estudiantes'!$H$3:$H$200,MATCH($C195,'👥 Estudiantes'!$C$3:$C$200,0)),"")</f>
      </c>
      <c r="N195" s="10">
        <f>IFERROR(INDEX('👥 Estudiantes'!$I$3:$I$200,MATCH($C195,'👥 Estudiantes'!$C$3:$C$200,0)),"")</f>
      </c>
      <c r="O195" s="10">
        <f>IFERROR(INDEX('👥 Estudiantes'!$J$3:$J$200,MATCH($C195,'👥 Estudiantes'!$C$3:$C$200,0)),"")</f>
      </c>
      <c r="P195" s="9"/>
    </row>
    <row r="196" spans="1:16" x14ac:dyDescent="0.25">
      <c r="A196">
        <f>IF($C196="","",ROW()-2)</f>
      </c>
      <c r="B196" s="8">
        <f>IFERROR(INDEX('👥 Estudiantes'!$B$3:$B$200,MATCH($C196,'👥 Estudiantes'!$C$3:$C$200,0)),"")</f>
      </c>
      <c r="C196" s="9"/>
      <c r="D196" s="10">
        <f>IFERROR(INDEX('👥 Estudiantes'!$D$3:$D$200,MATCH($C196,'👥 Estudiantes'!$C$3:$C$200,0)),"")</f>
      </c>
      <c r="E196" s="10">
        <f>IFERROR(INDEX('👥 Estudiantes'!$E$3:$E$200,MATCH($C196,'👥 Estudiantes'!$C$3:$C$200,0)),"")</f>
      </c>
      <c r="F196" s="9"/>
      <c r="G196" s="10">
        <f>IFERROR(INDEX('🏢 Empresas'!$C$3:$C$200,MATCH($F196,'🏢 Empresas'!$B$3:$B$200,0)),"")</f>
      </c>
      <c r="H196" s="10">
        <f>IFERROR(INDEX('🏢 Empresas'!$D$3:$D$200,MATCH($F196,'🏢 Empresas'!$B$3:$B$200,0)),"")</f>
      </c>
      <c r="I196" s="10">
        <f>IFERROR(INDEX('🏢 Empresas'!$E$3:$E$200,MATCH($F196,'🏢 Empresas'!$B$3:$B$200,0)),"")</f>
      </c>
      <c r="J196" s="10">
        <f>IFERROR(INDEX('🏢 Empresas'!$F$3:$F$200,MATCH($F196,'🏢 Empresas'!$B$3:$B$200,0)),"")</f>
      </c>
      <c r="K196" s="9"/>
      <c r="L196" s="10">
        <f>IFERROR(INDEX('👥 Estudiantes'!$G$3:$G$200,MATCH($C196,'👥 Estudiantes'!$C$3:$C$200,0)),"")</f>
      </c>
      <c r="M196" s="10">
        <f>IFERROR(INDEX('👥 Estudiantes'!$H$3:$H$200,MATCH($C196,'👥 Estudiantes'!$C$3:$C$200,0)),"")</f>
      </c>
      <c r="N196" s="10">
        <f>IFERROR(INDEX('👥 Estudiantes'!$I$3:$I$200,MATCH($C196,'👥 Estudiantes'!$C$3:$C$200,0)),"")</f>
      </c>
      <c r="O196" s="10">
        <f>IFERROR(INDEX('👥 Estudiantes'!$J$3:$J$200,MATCH($C196,'👥 Estudiantes'!$C$3:$C$200,0)),"")</f>
      </c>
      <c r="P196" s="9"/>
    </row>
    <row r="197" spans="1:16" x14ac:dyDescent="0.25">
      <c r="A197">
        <f>IF($C197="","",ROW()-2)</f>
      </c>
      <c r="B197" s="8">
        <f>IFERROR(INDEX('👥 Estudiantes'!$B$3:$B$200,MATCH($C197,'👥 Estudiantes'!$C$3:$C$200,0)),"")</f>
      </c>
      <c r="C197" s="9"/>
      <c r="D197" s="10">
        <f>IFERROR(INDEX('👥 Estudiantes'!$D$3:$D$200,MATCH($C197,'👥 Estudiantes'!$C$3:$C$200,0)),"")</f>
      </c>
      <c r="E197" s="10">
        <f>IFERROR(INDEX('👥 Estudiantes'!$E$3:$E$200,MATCH($C197,'👥 Estudiantes'!$C$3:$C$200,0)),"")</f>
      </c>
      <c r="F197" s="9"/>
      <c r="G197" s="10">
        <f>IFERROR(INDEX('🏢 Empresas'!$C$3:$C$200,MATCH($F197,'🏢 Empresas'!$B$3:$B$200,0)),"")</f>
      </c>
      <c r="H197" s="10">
        <f>IFERROR(INDEX('🏢 Empresas'!$D$3:$D$200,MATCH($F197,'🏢 Empresas'!$B$3:$B$200,0)),"")</f>
      </c>
      <c r="I197" s="10">
        <f>IFERROR(INDEX('🏢 Empresas'!$E$3:$E$200,MATCH($F197,'🏢 Empresas'!$B$3:$B$200,0)),"")</f>
      </c>
      <c r="J197" s="10">
        <f>IFERROR(INDEX('🏢 Empresas'!$F$3:$F$200,MATCH($F197,'🏢 Empresas'!$B$3:$B$200,0)),"")</f>
      </c>
      <c r="K197" s="9"/>
      <c r="L197" s="10">
        <f>IFERROR(INDEX('👥 Estudiantes'!$G$3:$G$200,MATCH($C197,'👥 Estudiantes'!$C$3:$C$200,0)),"")</f>
      </c>
      <c r="M197" s="10">
        <f>IFERROR(INDEX('👥 Estudiantes'!$H$3:$H$200,MATCH($C197,'👥 Estudiantes'!$C$3:$C$200,0)),"")</f>
      </c>
      <c r="N197" s="10">
        <f>IFERROR(INDEX('👥 Estudiantes'!$I$3:$I$200,MATCH($C197,'👥 Estudiantes'!$C$3:$C$200,0)),"")</f>
      </c>
      <c r="O197" s="10">
        <f>IFERROR(INDEX('👥 Estudiantes'!$J$3:$J$200,MATCH($C197,'👥 Estudiantes'!$C$3:$C$200,0)),"")</f>
      </c>
      <c r="P197" s="9"/>
    </row>
    <row r="198" spans="1:16" x14ac:dyDescent="0.25">
      <c r="A198">
        <f>IF($C198="","",ROW()-2)</f>
      </c>
      <c r="B198" s="8">
        <f>IFERROR(INDEX('👥 Estudiantes'!$B$3:$B$200,MATCH($C198,'👥 Estudiantes'!$C$3:$C$200,0)),"")</f>
      </c>
      <c r="C198" s="9"/>
      <c r="D198" s="10">
        <f>IFERROR(INDEX('👥 Estudiantes'!$D$3:$D$200,MATCH($C198,'👥 Estudiantes'!$C$3:$C$200,0)),"")</f>
      </c>
      <c r="E198" s="10">
        <f>IFERROR(INDEX('👥 Estudiantes'!$E$3:$E$200,MATCH($C198,'👥 Estudiantes'!$C$3:$C$200,0)),"")</f>
      </c>
      <c r="F198" s="9"/>
      <c r="G198" s="10">
        <f>IFERROR(INDEX('🏢 Empresas'!$C$3:$C$200,MATCH($F198,'🏢 Empresas'!$B$3:$B$200,0)),"")</f>
      </c>
      <c r="H198" s="10">
        <f>IFERROR(INDEX('🏢 Empresas'!$D$3:$D$200,MATCH($F198,'🏢 Empresas'!$B$3:$B$200,0)),"")</f>
      </c>
      <c r="I198" s="10">
        <f>IFERROR(INDEX('🏢 Empresas'!$E$3:$E$200,MATCH($F198,'🏢 Empresas'!$B$3:$B$200,0)),"")</f>
      </c>
      <c r="J198" s="10">
        <f>IFERROR(INDEX('🏢 Empresas'!$F$3:$F$200,MATCH($F198,'🏢 Empresas'!$B$3:$B$200,0)),"")</f>
      </c>
      <c r="K198" s="9"/>
      <c r="L198" s="10">
        <f>IFERROR(INDEX('👥 Estudiantes'!$G$3:$G$200,MATCH($C198,'👥 Estudiantes'!$C$3:$C$200,0)),"")</f>
      </c>
      <c r="M198" s="10">
        <f>IFERROR(INDEX('👥 Estudiantes'!$H$3:$H$200,MATCH($C198,'👥 Estudiantes'!$C$3:$C$200,0)),"")</f>
      </c>
      <c r="N198" s="10">
        <f>IFERROR(INDEX('👥 Estudiantes'!$I$3:$I$200,MATCH($C198,'👥 Estudiantes'!$C$3:$C$200,0)),"")</f>
      </c>
      <c r="O198" s="10">
        <f>IFERROR(INDEX('👥 Estudiantes'!$J$3:$J$200,MATCH($C198,'👥 Estudiantes'!$C$3:$C$200,0)),"")</f>
      </c>
      <c r="P198" s="9"/>
    </row>
    <row r="199" spans="1:16" x14ac:dyDescent="0.25">
      <c r="A199">
        <f>IF($C199="","",ROW()-2)</f>
      </c>
      <c r="B199" s="8">
        <f>IFERROR(INDEX('👥 Estudiantes'!$B$3:$B$200,MATCH($C199,'👥 Estudiantes'!$C$3:$C$200,0)),"")</f>
      </c>
      <c r="C199" s="9"/>
      <c r="D199" s="10">
        <f>IFERROR(INDEX('👥 Estudiantes'!$D$3:$D$200,MATCH($C199,'👥 Estudiantes'!$C$3:$C$200,0)),"")</f>
      </c>
      <c r="E199" s="10">
        <f>IFERROR(INDEX('👥 Estudiantes'!$E$3:$E$200,MATCH($C199,'👥 Estudiantes'!$C$3:$C$200,0)),"")</f>
      </c>
      <c r="F199" s="9"/>
      <c r="G199" s="10">
        <f>IFERROR(INDEX('🏢 Empresas'!$C$3:$C$200,MATCH($F199,'🏢 Empresas'!$B$3:$B$200,0)),"")</f>
      </c>
      <c r="H199" s="10">
        <f>IFERROR(INDEX('🏢 Empresas'!$D$3:$D$200,MATCH($F199,'🏢 Empresas'!$B$3:$B$200,0)),"")</f>
      </c>
      <c r="I199" s="10">
        <f>IFERROR(INDEX('🏢 Empresas'!$E$3:$E$200,MATCH($F199,'🏢 Empresas'!$B$3:$B$200,0)),"")</f>
      </c>
      <c r="J199" s="10">
        <f>IFERROR(INDEX('🏢 Empresas'!$F$3:$F$200,MATCH($F199,'🏢 Empresas'!$B$3:$B$200,0)),"")</f>
      </c>
      <c r="K199" s="9"/>
      <c r="L199" s="10">
        <f>IFERROR(INDEX('👥 Estudiantes'!$G$3:$G$200,MATCH($C199,'👥 Estudiantes'!$C$3:$C$200,0)),"")</f>
      </c>
      <c r="M199" s="10">
        <f>IFERROR(INDEX('👥 Estudiantes'!$H$3:$H$200,MATCH($C199,'👥 Estudiantes'!$C$3:$C$200,0)),"")</f>
      </c>
      <c r="N199" s="10">
        <f>IFERROR(INDEX('👥 Estudiantes'!$I$3:$I$200,MATCH($C199,'👥 Estudiantes'!$C$3:$C$200,0)),"")</f>
      </c>
      <c r="O199" s="10">
        <f>IFERROR(INDEX('👥 Estudiantes'!$J$3:$J$200,MATCH($C199,'👥 Estudiantes'!$C$3:$C$200,0)),"")</f>
      </c>
      <c r="P199" s="9"/>
    </row>
    <row r="200" spans="1:16" x14ac:dyDescent="0.25">
      <c r="A200">
        <f>IF($C200="","",ROW()-2)</f>
      </c>
      <c r="B200" s="8">
        <f>IFERROR(INDEX('👥 Estudiantes'!$B$3:$B$200,MATCH($C200,'👥 Estudiantes'!$C$3:$C$200,0)),"")</f>
      </c>
      <c r="C200" s="9"/>
      <c r="D200" s="10">
        <f>IFERROR(INDEX('👥 Estudiantes'!$D$3:$D$200,MATCH($C200,'👥 Estudiantes'!$C$3:$C$200,0)),"")</f>
      </c>
      <c r="E200" s="10">
        <f>IFERROR(INDEX('👥 Estudiantes'!$E$3:$E$200,MATCH($C200,'👥 Estudiantes'!$C$3:$C$200,0)),"")</f>
      </c>
      <c r="F200" s="9"/>
      <c r="G200" s="10">
        <f>IFERROR(INDEX('🏢 Empresas'!$C$3:$C$200,MATCH($F200,'🏢 Empresas'!$B$3:$B$200,0)),"")</f>
      </c>
      <c r="H200" s="10">
        <f>IFERROR(INDEX('🏢 Empresas'!$D$3:$D$200,MATCH($F200,'🏢 Empresas'!$B$3:$B$200,0)),"")</f>
      </c>
      <c r="I200" s="10">
        <f>IFERROR(INDEX('🏢 Empresas'!$E$3:$E$200,MATCH($F200,'🏢 Empresas'!$B$3:$B$200,0)),"")</f>
      </c>
      <c r="J200" s="10">
        <f>IFERROR(INDEX('🏢 Empresas'!$F$3:$F$200,MATCH($F200,'🏢 Empresas'!$B$3:$B$200,0)),"")</f>
      </c>
      <c r="K200" s="9"/>
      <c r="L200" s="10">
        <f>IFERROR(INDEX('👥 Estudiantes'!$G$3:$G$200,MATCH($C200,'👥 Estudiantes'!$C$3:$C$200,0)),"")</f>
      </c>
      <c r="M200" s="10">
        <f>IFERROR(INDEX('👥 Estudiantes'!$H$3:$H$200,MATCH($C200,'👥 Estudiantes'!$C$3:$C$200,0)),"")</f>
      </c>
      <c r="N200" s="10">
        <f>IFERROR(INDEX('👥 Estudiantes'!$I$3:$I$200,MATCH($C200,'👥 Estudiantes'!$C$3:$C$200,0)),"")</f>
      </c>
      <c r="O200" s="10">
        <f>IFERROR(INDEX('👥 Estudiantes'!$J$3:$J$200,MATCH($C200,'👥 Estudiantes'!$C$3:$C$200,0)),"")</f>
      </c>
      <c r="P200" s="9"/>
    </row>
  </sheetData>
  <mergeCells count="1">
    <mergeCell ref="A1:O1"/>
  </mergeCells>
  <dataValidations count="6">
    <dataValidation type="list" allowBlank="1" showErrorMessage="1" errorTitle="Valor no permitido" error="Elige un valor de la lista del directorio correspondiente." sqref="C10:C200">
      <formula1>'👥 Estudiantes'!$C$3:$C$200</formula1>
    </dataValidation>
    <dataValidation type="list" allowBlank="1" showErrorMessage="1" errorTitle="Valor no permitido" error="Elige un valor de la lista del directorio correspondiente." sqref="C3:C200">
      <formula1>'👥 Estudiantes'!$C$3:$C$200</formula1>
    </dataValidation>
    <dataValidation type="list" allowBlank="1" showErrorMessage="1" errorTitle="Valor no permitido" error="Elige un valor de la lista del directorio correspondiente." sqref="F10:F200">
      <formula1>'🏢 Empresas'!$B$3:$B$200</formula1>
    </dataValidation>
    <dataValidation type="list" allowBlank="1" showErrorMessage="1" errorTitle="Valor no permitido" error="Elige un valor de la lista del directorio correspondiente." sqref="F3:F200">
      <formula1>'🏢 Empresas'!$B$3:$B$200</formula1>
    </dataValidation>
    <dataValidation type="list" allowBlank="1" showErrorMessage="1" errorTitle="Valor no permitido" error="Elige un valor de la lista del directorio correspondiente." sqref="K10:K200">
      <formula1>'👨‍🏫 Tutores Académicos'!$B$3:$B$200</formula1>
    </dataValidation>
    <dataValidation type="list" allowBlank="1" showErrorMessage="1" errorTitle="Valor no permitido" error="Elige un valor de la lista del directorio correspondiente." sqref="K3:K200">
      <formula1>'👨‍🏫 Tutores Académicos'!$B$3:$B$200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📖 Instrucciones</vt:lpstr>
      <vt:lpstr>👥 Estudiantes</vt:lpstr>
      <vt:lpstr>🏢 Empresas</vt:lpstr>
      <vt:lpstr>👨‍🏫 Tutores Académicos</vt:lpstr>
      <vt:lpstr>📋 Prácticas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UniBridge</dc:creator>
  <dc:title/>
  <dc:subject/>
  <dc:description/>
  <cp:keywords/>
  <cp:category/>
  <cp:lastModifiedBy>Unknown</cp:lastModifiedBy>
  <dcterms:created xsi:type="dcterms:W3CDTF">2026-07-30T14:35:59Z</dcterms:created>
  <dcterms:modified xsi:type="dcterms:W3CDTF">2026-07-30T14:35:59Z</dcterms:modified>
</cp:coreProperties>
</file>